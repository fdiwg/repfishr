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929"/>
  <workbookPr codeName="ThisWorkbook" defaultThemeVersion="124226"/>
  <mc:AlternateContent xmlns:mc="http://schemas.openxmlformats.org/markup-compatibility/2006">
    <mc:Choice Requires="x15">
      <x15ac:absPath xmlns:x15ac="http://schemas.microsoft.com/office/spreadsheetml/2010/11/ac" url="C:\DataD\ESTADISTICAS\temp\"/>
    </mc:Choice>
  </mc:AlternateContent>
  <xr:revisionPtr revIDLastSave="0" documentId="13_ncr:1_{AEE5063F-F268-486E-BF80-4B3215ADF633}" xr6:coauthVersionLast="47" xr6:coauthVersionMax="47" xr10:uidLastSave="{00000000-0000-0000-0000-000000000000}"/>
  <workbookProtection workbookAlgorithmName="SHA-512" workbookHashValue="qtnFIJj2dB4uylYfE1aJbk5AcxAC3EbsfRZKERcICSxngZ1iJZvyv4J6rFhlbQJmAW0I7XYH2YnCahCnTYnqyA==" workbookSaltValue="KP3PEJaO9jJ7+a4UoQe2Rg==" workbookSpinCount="100000" lockStructure="1"/>
  <bookViews>
    <workbookView xWindow="-109" yWindow="-109" windowWidth="34995" windowHeight="19060" tabRatio="689" xr2:uid="{00000000-000D-0000-FFFF-FFFF00000000}"/>
  </bookViews>
  <sheets>
    <sheet name="ST04-T2SZ" sheetId="1" r:id="rId1"/>
    <sheet name="Codes" sheetId="6" r:id="rId2"/>
    <sheet name="Instructions" sheetId="5" r:id="rId3"/>
    <sheet name="Filters" sheetId="7" r:id="rId4"/>
    <sheet name="Translation" sheetId="4" state="veryHidden" r:id="rId5"/>
  </sheets>
  <definedNames>
    <definedName name="_xlnm._FilterDatabase" localSheetId="1" hidden="1">Codes!#REF!</definedName>
    <definedName name="_xlnm._FilterDatabase" localSheetId="2" hidden="1">Instructions!$G$10:$G$61</definedName>
    <definedName name="_xlnm._FilterDatabase" localSheetId="4" hidden="1">Translation!$A$4:$J$96</definedName>
    <definedName name="CatchTypeCode">Codes!$Y$43:$Y$48</definedName>
    <definedName name="ClassLimitCode">Codes!$Y$36:$Y$38</definedName>
    <definedName name="Content">Codes!$Y$58:$Y$61</definedName>
    <definedName name="DataSourceCode">Codes!$U$69:$U$75</definedName>
    <definedName name="FlagA2ISO">Codes!$F$3:$F$176</definedName>
    <definedName name="FlagA3ISO">Codes!$E$3:$E$176</definedName>
    <definedName name="FlagCode">Codes!$B$3:$B$176</definedName>
    <definedName name="FlagName">Codes!$A$3:$A$176</definedName>
    <definedName name="FleetSuffix">Codes!$D$3:$D$176</definedName>
    <definedName name="FleetSuffixes">Codes!$D$3:$D$175</definedName>
    <definedName name="FreqTypeCode">Codes!$Y$12:$Y$21</definedName>
    <definedName name="GearCode">Codes!$U$3:$U$51</definedName>
    <definedName name="idiom">'ST04-T2SZ'!$R$2</definedName>
    <definedName name="LangFieldID">Translation!$I$1</definedName>
    <definedName name="LangNameID">Translation!$I$2</definedName>
    <definedName name="ProdTypeCode">Codes!$Y$25:$Y$31</definedName>
    <definedName name="QuadCode">Codes!$AC$3:$AC$7</definedName>
    <definedName name="SampAreaCode">Codes!$P$3:$P$121</definedName>
    <definedName name="SampleUnitCode">Codes!$U$56:$U$64</definedName>
    <definedName name="SampLocatCode">Codes!$U$80:$U$85</definedName>
    <definedName name="SchoolTypeCode">Codes!$Y$3:$Y$7</definedName>
    <definedName name="SpeciesCode">Codes!$H$3:$H$223</definedName>
    <definedName name="SquareTypeCode">Codes!$AC$12:$AC$17</definedName>
    <definedName name="StatusCPC">Codes!$C$3:$C$176</definedName>
    <definedName name="Version">Codes!$Y$52:$Y$53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40" i="5" l="1"/>
  <c r="S25" i="1" a="1"/>
  <c r="S25" i="1" s="1"/>
  <c r="R25" i="1" a="1"/>
  <c r="R25" i="1" s="1"/>
  <c r="Q25" i="1" a="1"/>
  <c r="Q25" i="1" s="1"/>
  <c r="P25" i="1" a="1"/>
  <c r="P25" i="1" s="1"/>
  <c r="M25" i="1" a="1"/>
  <c r="M25" i="1" s="1"/>
  <c r="L25" i="1" a="1"/>
  <c r="L25" i="1" s="1"/>
  <c r="K25" i="1" a="1"/>
  <c r="K25" i="1" s="1"/>
  <c r="J25" i="1" a="1"/>
  <c r="J25" i="1" s="1"/>
  <c r="I25" i="1" a="1"/>
  <c r="I25" i="1" s="1"/>
  <c r="H25" i="1" a="1"/>
  <c r="H25" i="1" s="1"/>
  <c r="G25" i="1" a="1"/>
  <c r="G25" i="1" s="1"/>
  <c r="F25" i="1" a="1"/>
  <c r="F25" i="1" s="1"/>
  <c r="E25" i="1" a="1"/>
  <c r="E25" i="1" s="1"/>
  <c r="D25" i="1" a="1"/>
  <c r="D25" i="1" s="1"/>
  <c r="C25" i="1" a="1"/>
  <c r="C25" i="1" s="1"/>
  <c r="A25" i="1" a="1"/>
  <c r="A25" i="1" s="1"/>
  <c r="E12" i="1" l="1"/>
  <c r="J11" i="1" s="1"/>
  <c r="F4" i="7"/>
  <c r="C19" i="1" l="1"/>
  <c r="G31" i="5" l="1"/>
  <c r="G61" i="5" l="1"/>
  <c r="G60" i="5"/>
  <c r="G59" i="5"/>
  <c r="G58" i="5"/>
  <c r="G57" i="5"/>
  <c r="G56" i="5"/>
  <c r="G55" i="5"/>
  <c r="G54" i="5"/>
  <c r="G53" i="5"/>
  <c r="G52" i="5"/>
  <c r="G51" i="5"/>
  <c r="G50" i="5"/>
  <c r="G49" i="5"/>
  <c r="G48" i="5"/>
  <c r="G47" i="5"/>
  <c r="G46" i="5"/>
  <c r="G45" i="5"/>
  <c r="G44" i="5"/>
  <c r="G43" i="5"/>
  <c r="G42" i="5"/>
  <c r="G41" i="5"/>
  <c r="G39" i="5"/>
  <c r="G38" i="5"/>
  <c r="G37" i="5"/>
  <c r="G36" i="5"/>
  <c r="G35" i="5"/>
  <c r="G34" i="5"/>
  <c r="G33" i="5"/>
  <c r="G32" i="5"/>
  <c r="G30" i="5"/>
  <c r="G29" i="5"/>
  <c r="G28" i="5"/>
  <c r="G27" i="5"/>
  <c r="G26" i="5"/>
  <c r="G25" i="5"/>
  <c r="G24" i="5"/>
  <c r="G23" i="5"/>
  <c r="G22" i="5"/>
  <c r="G21" i="5"/>
  <c r="G20" i="5"/>
  <c r="G19" i="5"/>
  <c r="G18" i="5"/>
  <c r="G17" i="5"/>
  <c r="G16" i="5"/>
  <c r="G15" i="5"/>
  <c r="G14" i="5"/>
  <c r="G13" i="5"/>
  <c r="G12" i="5"/>
  <c r="G11" i="5"/>
  <c r="I2" i="4" l="1"/>
  <c r="I1" i="4"/>
  <c r="F40" i="5" s="1"/>
  <c r="H31" i="5" l="1"/>
  <c r="H40" i="5"/>
  <c r="A4" i="7"/>
  <c r="A3" i="7"/>
  <c r="F31" i="5"/>
  <c r="B11" i="5"/>
  <c r="B15" i="1"/>
  <c r="F11" i="5"/>
  <c r="F12" i="5"/>
  <c r="G10" i="5"/>
  <c r="H10" i="5"/>
  <c r="C11" i="5"/>
  <c r="H12" i="5"/>
  <c r="H11" i="5"/>
  <c r="R1" i="1"/>
  <c r="Q1" i="1"/>
  <c r="D15" i="1" l="1"/>
  <c r="H41" i="5" l="1"/>
  <c r="H35" i="5"/>
  <c r="F41" i="5"/>
  <c r="F35" i="5"/>
  <c r="F17" i="1"/>
  <c r="C2" i="1"/>
  <c r="F54" i="5"/>
  <c r="F42" i="5"/>
  <c r="F26" i="5"/>
  <c r="D13" i="1"/>
  <c r="A13" i="1"/>
  <c r="F52" i="5"/>
  <c r="F27" i="5"/>
  <c r="H60" i="5"/>
  <c r="H54" i="5"/>
  <c r="H42" i="5"/>
  <c r="H26" i="5"/>
  <c r="H52" i="5"/>
  <c r="H27" i="5"/>
  <c r="A2" i="5"/>
  <c r="B3" i="5"/>
  <c r="H36" i="5"/>
  <c r="H43" i="5"/>
  <c r="K5" i="1"/>
  <c r="H18" i="5"/>
  <c r="H49" i="5"/>
  <c r="K8" i="1"/>
  <c r="H24" i="5"/>
  <c r="H55" i="5"/>
  <c r="R24" i="1"/>
  <c r="F20" i="5"/>
  <c r="F32" i="5"/>
  <c r="H61" i="5"/>
  <c r="F13" i="1"/>
  <c r="H23" i="1"/>
  <c r="E23" i="5"/>
  <c r="Q5" i="1"/>
  <c r="B5" i="1"/>
  <c r="A11" i="1"/>
  <c r="B14" i="1"/>
  <c r="A15" i="1"/>
  <c r="C22" i="1"/>
  <c r="C23" i="1"/>
  <c r="M23" i="1"/>
  <c r="I24" i="1"/>
  <c r="A1" i="1"/>
  <c r="C10" i="5"/>
  <c r="C13" i="5"/>
  <c r="D25" i="5"/>
  <c r="D39" i="5"/>
  <c r="D57" i="5"/>
  <c r="F15" i="5"/>
  <c r="F21" i="5"/>
  <c r="F28" i="5"/>
  <c r="F33" i="5"/>
  <c r="F39" i="5"/>
  <c r="F46" i="5"/>
  <c r="F58" i="5"/>
  <c r="B4" i="5"/>
  <c r="H13" i="5"/>
  <c r="H19" i="5"/>
  <c r="H25" i="5"/>
  <c r="H37" i="5"/>
  <c r="H44" i="5"/>
  <c r="H50" i="5"/>
  <c r="H56" i="5"/>
  <c r="A1" i="5"/>
  <c r="F9" i="1"/>
  <c r="B23" i="1"/>
  <c r="E55" i="5"/>
  <c r="F45" i="5"/>
  <c r="B6" i="1"/>
  <c r="K11" i="1"/>
  <c r="F14" i="1"/>
  <c r="O22" i="1"/>
  <c r="D23" i="1"/>
  <c r="N23" i="1"/>
  <c r="J24" i="1"/>
  <c r="D10" i="5"/>
  <c r="D13" i="5"/>
  <c r="E31" i="5"/>
  <c r="E39" i="5"/>
  <c r="E10" i="5"/>
  <c r="F16" i="5"/>
  <c r="F22" i="5"/>
  <c r="F29" i="5"/>
  <c r="F34" i="5"/>
  <c r="F47" i="5"/>
  <c r="F53" i="5"/>
  <c r="F59" i="5"/>
  <c r="B5" i="5"/>
  <c r="H14" i="5"/>
  <c r="H20" i="5"/>
  <c r="H32" i="5"/>
  <c r="H38" i="5"/>
  <c r="H45" i="5"/>
  <c r="H51" i="5"/>
  <c r="H57" i="5"/>
  <c r="C1" i="1"/>
  <c r="B10" i="5"/>
  <c r="F14" i="5"/>
  <c r="F57" i="5"/>
  <c r="A4" i="1"/>
  <c r="F6" i="1"/>
  <c r="S22" i="1"/>
  <c r="E23" i="1"/>
  <c r="O23" i="1"/>
  <c r="K24" i="1"/>
  <c r="F10" i="5"/>
  <c r="E13" i="5"/>
  <c r="E32" i="5"/>
  <c r="E41" i="5"/>
  <c r="F17" i="5"/>
  <c r="F23" i="5"/>
  <c r="F30" i="5"/>
  <c r="F48" i="5"/>
  <c r="F60" i="5"/>
  <c r="B6" i="5"/>
  <c r="H15" i="5"/>
  <c r="H21" i="5"/>
  <c r="H28" i="5"/>
  <c r="H33" i="5"/>
  <c r="H39" i="5"/>
  <c r="H46" i="5"/>
  <c r="H58" i="5"/>
  <c r="S21" i="1"/>
  <c r="C39" i="5"/>
  <c r="F51" i="5"/>
  <c r="K4" i="1"/>
  <c r="A12" i="1"/>
  <c r="F18" i="1"/>
  <c r="Q4" i="1"/>
  <c r="B8" i="1"/>
  <c r="F15" i="1"/>
  <c r="T22" i="1"/>
  <c r="L24" i="1"/>
  <c r="A9" i="5"/>
  <c r="E16" i="5"/>
  <c r="E35" i="5"/>
  <c r="E46" i="5"/>
  <c r="F18" i="5"/>
  <c r="F24" i="5"/>
  <c r="F36" i="5"/>
  <c r="F43" i="5"/>
  <c r="F49" i="5"/>
  <c r="F55" i="5"/>
  <c r="F61" i="5"/>
  <c r="B7" i="5"/>
  <c r="H16" i="5"/>
  <c r="H22" i="5"/>
  <c r="H29" i="5"/>
  <c r="H34" i="5"/>
  <c r="H47" i="5"/>
  <c r="H53" i="5"/>
  <c r="H59" i="5"/>
  <c r="F16" i="1"/>
  <c r="H24" i="1"/>
  <c r="F38" i="5"/>
  <c r="R5" i="1"/>
  <c r="B7" i="1"/>
  <c r="A17" i="1"/>
  <c r="K6" i="1"/>
  <c r="F12" i="1"/>
  <c r="G19" i="1"/>
  <c r="F23" i="1"/>
  <c r="P23" i="1"/>
  <c r="A5" i="1"/>
  <c r="A7" i="1"/>
  <c r="B9" i="1"/>
  <c r="A18" i="1"/>
  <c r="A21" i="1"/>
  <c r="A23" i="1"/>
  <c r="G23" i="1"/>
  <c r="Q23" i="1"/>
  <c r="Q24" i="1"/>
  <c r="A10" i="5"/>
  <c r="A11" i="5"/>
  <c r="D20" i="5"/>
  <c r="D38" i="5"/>
  <c r="E53" i="5"/>
  <c r="F13" i="5"/>
  <c r="F19" i="5"/>
  <c r="F25" i="5"/>
  <c r="F37" i="5"/>
  <c r="F44" i="5"/>
  <c r="F50" i="5"/>
  <c r="F56" i="5"/>
  <c r="H17" i="5"/>
  <c r="H23" i="5"/>
  <c r="H30" i="5"/>
  <c r="H48" i="5"/>
  <c r="D14" i="1" l="1"/>
  <c r="G3" i="7"/>
  <c r="I19" i="1"/>
  <c r="I18" i="1"/>
  <c r="J4" i="1"/>
  <c r="K9" i="1" s="1"/>
  <c r="A22" i="1"/>
  <c r="I14" i="1"/>
  <c r="I17" i="1"/>
  <c r="I13"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<sst xmlns="http://schemas.openxmlformats.org/spreadsheetml/2006/main" count="4272" uniqueCount="2626">
  <si>
    <t>Escoger la fuente a partir de la cual se recopilaron los datos (códigos ICCAT)</t>
  </si>
  <si>
    <t>Escoger un código de arte (códigos ICCAT)</t>
  </si>
  <si>
    <t>Clase de talla</t>
  </si>
  <si>
    <t>Size class</t>
  </si>
  <si>
    <t>Número</t>
  </si>
  <si>
    <t>Nombre</t>
  </si>
  <si>
    <t>Number</t>
  </si>
  <si>
    <t>Weight (kg)</t>
  </si>
  <si>
    <t>Prise totale (kg)</t>
  </si>
  <si>
    <t>Lon</t>
  </si>
  <si>
    <t>Lat</t>
  </si>
  <si>
    <t>Tipo de captura</t>
  </si>
  <si>
    <t>Type de capture</t>
  </si>
  <si>
    <t>Catch type</t>
  </si>
  <si>
    <t>Notas</t>
  </si>
  <si>
    <t>Notes</t>
  </si>
  <si>
    <t>Límite de clase</t>
  </si>
  <si>
    <t>Limite de classe</t>
  </si>
  <si>
    <t>Class limit</t>
  </si>
  <si>
    <t>Intervalo</t>
  </si>
  <si>
    <t>Intervalle</t>
  </si>
  <si>
    <t>Interval</t>
  </si>
  <si>
    <t>Tipo de producto</t>
  </si>
  <si>
    <t>Type de produit</t>
  </si>
  <si>
    <t>Product type</t>
  </si>
  <si>
    <t>Versión declarada</t>
  </si>
  <si>
    <t>Version transmise</t>
  </si>
  <si>
    <t>Version reported</t>
  </si>
  <si>
    <t>Pavillon déclarant</t>
  </si>
  <si>
    <t>País</t>
  </si>
  <si>
    <t>Pays</t>
  </si>
  <si>
    <t>Country</t>
  </si>
  <si>
    <t>Dirección</t>
  </si>
  <si>
    <t>Adresse</t>
  </si>
  <si>
    <t>Address</t>
  </si>
  <si>
    <t>Departamento</t>
  </si>
  <si>
    <t>Département</t>
  </si>
  <si>
    <t>Department</t>
  </si>
  <si>
    <t>Institución</t>
  </si>
  <si>
    <t>Institution</t>
  </si>
  <si>
    <t>Teléfono</t>
  </si>
  <si>
    <t>Téléphone</t>
  </si>
  <si>
    <t>Phone</t>
  </si>
  <si>
    <t>E-mail</t>
  </si>
  <si>
    <t>Nom</t>
  </si>
  <si>
    <t>Name</t>
  </si>
  <si>
    <t>Total fish sampled</t>
  </si>
  <si>
    <t>Geographic area</t>
  </si>
  <si>
    <t>Sample strata</t>
  </si>
  <si>
    <t>Catch attributes</t>
  </si>
  <si>
    <t>Afiliación</t>
  </si>
  <si>
    <t>Affiliation</t>
  </si>
  <si>
    <t>Identificación</t>
  </si>
  <si>
    <t>Identification</t>
  </si>
  <si>
    <t>Detalles de frecuencia de tallas</t>
  </si>
  <si>
    <t>Détails de la fréquence de taille</t>
  </si>
  <si>
    <t>Detail</t>
  </si>
  <si>
    <t>Détail</t>
  </si>
  <si>
    <t>Header</t>
  </si>
  <si>
    <t>Descripción</t>
  </si>
  <si>
    <t>Description</t>
  </si>
  <si>
    <t>Leave "blank" the fields for which you don't collect information</t>
  </si>
  <si>
    <t>General</t>
  </si>
  <si>
    <t>title</t>
  </si>
  <si>
    <t>Size frequency details</t>
  </si>
  <si>
    <t>Peso (kg)</t>
  </si>
  <si>
    <t>Total peces muestreados</t>
  </si>
  <si>
    <t>SampleID</t>
  </si>
  <si>
    <t>Estratos de la muestra</t>
  </si>
  <si>
    <t>Strates de l'échantillon</t>
  </si>
  <si>
    <t>Quadrant</t>
  </si>
  <si>
    <t>Área geográfica</t>
  </si>
  <si>
    <t>Zone géographique</t>
  </si>
  <si>
    <t>Estratos de captura asociados a muestras</t>
  </si>
  <si>
    <t>Strates de la capture associées aux échantillons</t>
  </si>
  <si>
    <t>Catch strata associated to samples</t>
  </si>
  <si>
    <t>Atributos de captura</t>
  </si>
  <si>
    <t>Attributs de la capture</t>
  </si>
  <si>
    <t>Atributos del muestreo</t>
  </si>
  <si>
    <t>Attributs d'échantillonnage</t>
  </si>
  <si>
    <t>Data set characteristics</t>
  </si>
  <si>
    <t>Correspondant statistique</t>
  </si>
  <si>
    <t>Idioma</t>
  </si>
  <si>
    <t>Langue</t>
  </si>
  <si>
    <t>Language</t>
  </si>
  <si>
    <t>ST04-T2SZ</t>
  </si>
  <si>
    <t>COMISIÓN INTERNACIONAL PARA LA CONSERVACIÓN DEL ATÚN ATLÁNTICO</t>
  </si>
  <si>
    <t>COMMISSION INTERNATIONALE POUR LA CONSERVATION DES THONIDÉS DE L'ATLANTIQUE</t>
  </si>
  <si>
    <t>INTERNATIONAL COMMISSION FOR THE CONSERVATION OF ATLANTIC TUNAS</t>
  </si>
  <si>
    <t>Section</t>
  </si>
  <si>
    <t/>
  </si>
  <si>
    <t>MD</t>
  </si>
  <si>
    <t>BIL95</t>
  </si>
  <si>
    <t>AT</t>
  </si>
  <si>
    <t>BIL94A</t>
  </si>
  <si>
    <t>BIL93</t>
  </si>
  <si>
    <t>BIL92</t>
  </si>
  <si>
    <t>AT-NW</t>
  </si>
  <si>
    <t>BIL91</t>
  </si>
  <si>
    <t>AT-SW</t>
  </si>
  <si>
    <t>BIL96</t>
  </si>
  <si>
    <t>AT-SE</t>
  </si>
  <si>
    <t>BIL97</t>
  </si>
  <si>
    <t>BIL94C</t>
  </si>
  <si>
    <t>AT-NE</t>
  </si>
  <si>
    <t>BIL94B</t>
  </si>
  <si>
    <t>SPF-W</t>
  </si>
  <si>
    <t>SPF</t>
  </si>
  <si>
    <t>SPF-E</t>
  </si>
  <si>
    <t>VIR</t>
  </si>
  <si>
    <t>US Virgin Islands</t>
  </si>
  <si>
    <t>NCO</t>
  </si>
  <si>
    <t>UKR</t>
  </si>
  <si>
    <t>Ukraine</t>
  </si>
  <si>
    <t>TGO</t>
  </si>
  <si>
    <t>Togo</t>
  </si>
  <si>
    <t>THA</t>
  </si>
  <si>
    <t>Thailand</t>
  </si>
  <si>
    <t>CHE</t>
  </si>
  <si>
    <t>Switzerland</t>
  </si>
  <si>
    <t>LCA</t>
  </si>
  <si>
    <t>SGP</t>
  </si>
  <si>
    <t>Singapore</t>
  </si>
  <si>
    <t>SYC</t>
  </si>
  <si>
    <t>Seychelles</t>
  </si>
  <si>
    <t>SRB</t>
  </si>
  <si>
    <t>Serbia</t>
  </si>
  <si>
    <t>KNA</t>
  </si>
  <si>
    <t>Saint Kitts and Nevis</t>
  </si>
  <si>
    <t>St. Kitts, Nevis</t>
  </si>
  <si>
    <t>ROU</t>
  </si>
  <si>
    <t>PRI</t>
  </si>
  <si>
    <t>Puerto Rico</t>
  </si>
  <si>
    <t>WHM</t>
  </si>
  <si>
    <t>PSE</t>
  </si>
  <si>
    <t>Palestine</t>
  </si>
  <si>
    <t>MNE</t>
  </si>
  <si>
    <t>Montenegro</t>
  </si>
  <si>
    <t>Manta gigante</t>
  </si>
  <si>
    <t>Mante géante</t>
  </si>
  <si>
    <t>Giant manta</t>
  </si>
  <si>
    <t>RMB</t>
  </si>
  <si>
    <t>MUS</t>
  </si>
  <si>
    <t>Mauritius</t>
  </si>
  <si>
    <t>Raya-látigo violeta</t>
  </si>
  <si>
    <t>Pastenague violette</t>
  </si>
  <si>
    <t>Pelagic stingray</t>
  </si>
  <si>
    <t>Pteroplatytrygon violacea</t>
  </si>
  <si>
    <t>PLS</t>
  </si>
  <si>
    <t>MYS</t>
  </si>
  <si>
    <t>Malaysia</t>
  </si>
  <si>
    <t>Tiburón cocodrilo</t>
  </si>
  <si>
    <t>Requin crocodile</t>
  </si>
  <si>
    <t>Crocodile shark</t>
  </si>
  <si>
    <t>Pseudocarcharias kamoharai</t>
  </si>
  <si>
    <t>PSK</t>
  </si>
  <si>
    <t>LBR</t>
  </si>
  <si>
    <t>Liberia</t>
  </si>
  <si>
    <t>LBN</t>
  </si>
  <si>
    <t>Lebanon</t>
  </si>
  <si>
    <t>JAM</t>
  </si>
  <si>
    <t>Jamaica</t>
  </si>
  <si>
    <t>ISR</t>
  </si>
  <si>
    <t>Israel</t>
  </si>
  <si>
    <t>BUM</t>
  </si>
  <si>
    <t>IRN</t>
  </si>
  <si>
    <t>Iran</t>
  </si>
  <si>
    <t>SWO-M</t>
  </si>
  <si>
    <t>IND</t>
  </si>
  <si>
    <t>India</t>
  </si>
  <si>
    <t>GUY</t>
  </si>
  <si>
    <t>Guyana</t>
  </si>
  <si>
    <t>SWO-S</t>
  </si>
  <si>
    <t>GNB</t>
  </si>
  <si>
    <t>Guinea Bissau</t>
  </si>
  <si>
    <t>GRD</t>
  </si>
  <si>
    <t>Grenada</t>
  </si>
  <si>
    <t>SYR</t>
  </si>
  <si>
    <t>GEO</t>
  </si>
  <si>
    <t>Georgia</t>
  </si>
  <si>
    <t>GMB</t>
  </si>
  <si>
    <t>Gambia</t>
  </si>
  <si>
    <t>FRO</t>
  </si>
  <si>
    <t>Faroe Islands</t>
  </si>
  <si>
    <t>SWO</t>
  </si>
  <si>
    <t>SWO-N</t>
  </si>
  <si>
    <t>FLK</t>
  </si>
  <si>
    <t>Falklands</t>
  </si>
  <si>
    <t>ECU</t>
  </si>
  <si>
    <t>Ecuador</t>
  </si>
  <si>
    <t>DOM</t>
  </si>
  <si>
    <t>Dominican Republic</t>
  </si>
  <si>
    <t>DMA</t>
  </si>
  <si>
    <t>Dominica</t>
  </si>
  <si>
    <t>CUB</t>
  </si>
  <si>
    <t>Cuba</t>
  </si>
  <si>
    <t>OTH</t>
  </si>
  <si>
    <t>CRI</t>
  </si>
  <si>
    <t>Costa Rica</t>
  </si>
  <si>
    <t>UN</t>
  </si>
  <si>
    <t>UNCL</t>
  </si>
  <si>
    <t>COG</t>
  </si>
  <si>
    <t>Congo</t>
  </si>
  <si>
    <t>COL</t>
  </si>
  <si>
    <t>Colombia</t>
  </si>
  <si>
    <t>HL</t>
  </si>
  <si>
    <t>LL</t>
  </si>
  <si>
    <t>CHL</t>
  </si>
  <si>
    <t>Chile</t>
  </si>
  <si>
    <t>Handline</t>
  </si>
  <si>
    <t>HAND</t>
  </si>
  <si>
    <t>CYM</t>
  </si>
  <si>
    <t>Cayman Islands</t>
  </si>
  <si>
    <t>Haul seine</t>
  </si>
  <si>
    <t>HS</t>
  </si>
  <si>
    <t>CMR</t>
  </si>
  <si>
    <t>Cameroon</t>
  </si>
  <si>
    <t>KHM</t>
  </si>
  <si>
    <t>Cambodia</t>
  </si>
  <si>
    <t>HP</t>
  </si>
  <si>
    <t>BEN</t>
  </si>
  <si>
    <t>Benin</t>
  </si>
  <si>
    <t>Harpoon</t>
  </si>
  <si>
    <t>HARP</t>
  </si>
  <si>
    <t>BLR</t>
  </si>
  <si>
    <t>Belarus</t>
  </si>
  <si>
    <t>TL</t>
  </si>
  <si>
    <t>BHS</t>
  </si>
  <si>
    <t>Bahamas</t>
  </si>
  <si>
    <t>TN</t>
  </si>
  <si>
    <t>ABW</t>
  </si>
  <si>
    <t>Aruba</t>
  </si>
  <si>
    <t>Rod and Reel (catching small fish)</t>
  </si>
  <si>
    <t>RR</t>
  </si>
  <si>
    <t>RRFS</t>
  </si>
  <si>
    <t>ARG</t>
  </si>
  <si>
    <t>Argentina</t>
  </si>
  <si>
    <t>Rod and Reel (catching large fish)</t>
  </si>
  <si>
    <t>RRFB</t>
  </si>
  <si>
    <t>ATG</t>
  </si>
  <si>
    <t>Antigua and Barbuda</t>
  </si>
  <si>
    <t>Discards Dead</t>
  </si>
  <si>
    <t>DD</t>
  </si>
  <si>
    <t>Rod and Reel</t>
  </si>
  <si>
    <t>Sphyrna spp</t>
  </si>
  <si>
    <t>SPN</t>
  </si>
  <si>
    <t>AIA</t>
  </si>
  <si>
    <t>Anguilla</t>
  </si>
  <si>
    <t>Discards Live</t>
  </si>
  <si>
    <t>DL</t>
  </si>
  <si>
    <t>GN</t>
  </si>
  <si>
    <t>GILLSWO</t>
  </si>
  <si>
    <t>Cornuda gigante</t>
  </si>
  <si>
    <t>Grand requin marteau</t>
  </si>
  <si>
    <t>Great hammerhead</t>
  </si>
  <si>
    <t>Sphyrna mokarran</t>
  </si>
  <si>
    <t>SPK</t>
  </si>
  <si>
    <t>SUR</t>
  </si>
  <si>
    <t>Suriname</t>
  </si>
  <si>
    <t>NCC</t>
  </si>
  <si>
    <t>Landings</t>
  </si>
  <si>
    <t>L</t>
  </si>
  <si>
    <t>GILLALB</t>
  </si>
  <si>
    <t>SLV</t>
  </si>
  <si>
    <t>El Salvador</t>
  </si>
  <si>
    <t>Catches</t>
  </si>
  <si>
    <t>C</t>
  </si>
  <si>
    <t>GILL</t>
  </si>
  <si>
    <t>Cornuda común</t>
  </si>
  <si>
    <t>Requin-marteau halicorne</t>
  </si>
  <si>
    <t>Scalloped hammerhead</t>
  </si>
  <si>
    <t>Sphyrna lewini</t>
  </si>
  <si>
    <t>SPL</t>
  </si>
  <si>
    <t>CUW</t>
  </si>
  <si>
    <t>Curaçao</t>
  </si>
  <si>
    <t>TR</t>
  </si>
  <si>
    <t>TROL</t>
  </si>
  <si>
    <t>Cornuda cruz(=Pez martillo)</t>
  </si>
  <si>
    <t>Requin-marteau commun</t>
  </si>
  <si>
    <t>Smooth hammerhead</t>
  </si>
  <si>
    <t>Sphyrna zygaena</t>
  </si>
  <si>
    <t>SPZ</t>
  </si>
  <si>
    <t>TAI</t>
  </si>
  <si>
    <t>Chinese Taipei</t>
  </si>
  <si>
    <t>TW</t>
  </si>
  <si>
    <t>Carcharhinidae</t>
  </si>
  <si>
    <t>RSK</t>
  </si>
  <si>
    <t>BOL</t>
  </si>
  <si>
    <t>Bolivia</t>
  </si>
  <si>
    <t>VEN</t>
  </si>
  <si>
    <t>Venezuela</t>
  </si>
  <si>
    <t>CP</t>
  </si>
  <si>
    <t>Trawl</t>
  </si>
  <si>
    <t>TRAW</t>
  </si>
  <si>
    <t>VUT</t>
  </si>
  <si>
    <t>Vanuatu</t>
  </si>
  <si>
    <t>central point</t>
  </si>
  <si>
    <t>BB</t>
  </si>
  <si>
    <t>BBALB</t>
  </si>
  <si>
    <t>URY</t>
  </si>
  <si>
    <t>Uruguay</t>
  </si>
  <si>
    <t>upper limit</t>
  </si>
  <si>
    <t>UL</t>
  </si>
  <si>
    <t>BBI</t>
  </si>
  <si>
    <t>lower limit</t>
  </si>
  <si>
    <t>BBF</t>
  </si>
  <si>
    <t>ClassLimit</t>
  </si>
  <si>
    <t>Baitboat</t>
  </si>
  <si>
    <t>YFT</t>
  </si>
  <si>
    <t>CCS</t>
  </si>
  <si>
    <t>TP</t>
  </si>
  <si>
    <t>TRAP-S</t>
  </si>
  <si>
    <t>TRAPM</t>
  </si>
  <si>
    <t>USA</t>
  </si>
  <si>
    <t>Comercial, Recreational</t>
  </si>
  <si>
    <t>Trap</t>
  </si>
  <si>
    <t>TRAP</t>
  </si>
  <si>
    <t>TUR</t>
  </si>
  <si>
    <t>Other (specify it in notes)</t>
  </si>
  <si>
    <t>OT</t>
  </si>
  <si>
    <t>PS</t>
  </si>
  <si>
    <t>PSLB</t>
  </si>
  <si>
    <t>Tiburón jaquetón</t>
  </si>
  <si>
    <t>Requin soyeux</t>
  </si>
  <si>
    <t>Silky shark</t>
  </si>
  <si>
    <t>Carcharhinus falciformis</t>
  </si>
  <si>
    <t>FAL</t>
  </si>
  <si>
    <t>TUN</t>
  </si>
  <si>
    <t>Tunisie</t>
  </si>
  <si>
    <t>BM</t>
  </si>
  <si>
    <t>PSS</t>
  </si>
  <si>
    <t>SKJ-W</t>
  </si>
  <si>
    <t>TTO</t>
  </si>
  <si>
    <t>Trinidad and Tobago</t>
  </si>
  <si>
    <t>Trinidad, Tobago</t>
  </si>
  <si>
    <t>Dressed weight</t>
  </si>
  <si>
    <t>DR</t>
  </si>
  <si>
    <t>PSM</t>
  </si>
  <si>
    <t>Syria</t>
  </si>
  <si>
    <t>FL</t>
  </si>
  <si>
    <t>PSG</t>
  </si>
  <si>
    <t>Tiburón oceánico</t>
  </si>
  <si>
    <t>Requin océanique</t>
  </si>
  <si>
    <t>Oceanic whitetip shark</t>
  </si>
  <si>
    <t>Carcharhinus longimanus</t>
  </si>
  <si>
    <t>OCS</t>
  </si>
  <si>
    <t>VCT</t>
  </si>
  <si>
    <t>GG</t>
  </si>
  <si>
    <t>PSD</t>
  </si>
  <si>
    <t>ZAF</t>
  </si>
  <si>
    <t>South Africa</t>
  </si>
  <si>
    <t>Live (round) weight</t>
  </si>
  <si>
    <t>LW</t>
  </si>
  <si>
    <t>PSFS</t>
  </si>
  <si>
    <t>SLE</t>
  </si>
  <si>
    <t>Sierra Leone</t>
  </si>
  <si>
    <t>ProductType</t>
  </si>
  <si>
    <t>PSFB</t>
  </si>
  <si>
    <t>SEN</t>
  </si>
  <si>
    <t>Senegal</t>
  </si>
  <si>
    <t>Purse seine</t>
  </si>
  <si>
    <t>STP</t>
  </si>
  <si>
    <t>Artisanal, Industrial</t>
  </si>
  <si>
    <t>LLPB</t>
  </si>
  <si>
    <t>RUS</t>
  </si>
  <si>
    <t>Russian Federation</t>
  </si>
  <si>
    <t>LLMB</t>
  </si>
  <si>
    <t>PHL</t>
  </si>
  <si>
    <t>Philippines</t>
  </si>
  <si>
    <t>LLSWO</t>
  </si>
  <si>
    <t>PAN</t>
  </si>
  <si>
    <t>Panama</t>
  </si>
  <si>
    <t>WGT</t>
  </si>
  <si>
    <t>LLBFT</t>
  </si>
  <si>
    <t>SKJ</t>
  </si>
  <si>
    <t>SKJ-E</t>
  </si>
  <si>
    <t>NOR</t>
  </si>
  <si>
    <t>Norway</t>
  </si>
  <si>
    <t>CFL</t>
  </si>
  <si>
    <t>LLALB</t>
  </si>
  <si>
    <t>NGA</t>
  </si>
  <si>
    <t>Nigeria</t>
  </si>
  <si>
    <t>Total length</t>
  </si>
  <si>
    <t>TLE</t>
  </si>
  <si>
    <t>LL-surf</t>
  </si>
  <si>
    <t>NIC</t>
  </si>
  <si>
    <t>Nicaragua</t>
  </si>
  <si>
    <t>EYF</t>
  </si>
  <si>
    <t>LL-Shrk</t>
  </si>
  <si>
    <t>NAM</t>
  </si>
  <si>
    <t>Namibia</t>
  </si>
  <si>
    <t>LLJAP</t>
  </si>
  <si>
    <t>Lamnidae</t>
  </si>
  <si>
    <t>MSK</t>
  </si>
  <si>
    <t>MEX</t>
  </si>
  <si>
    <t>Mexico</t>
  </si>
  <si>
    <t>Jaquetón blanco</t>
  </si>
  <si>
    <t>Grand requin blanc</t>
  </si>
  <si>
    <t>Great white shark</t>
  </si>
  <si>
    <t>Carcharodon carcharias</t>
  </si>
  <si>
    <t>WSH</t>
  </si>
  <si>
    <t>MRT</t>
  </si>
  <si>
    <t>Mauritania</t>
  </si>
  <si>
    <t>LD1</t>
  </si>
  <si>
    <t>MAR</t>
  </si>
  <si>
    <t>Maroc</t>
  </si>
  <si>
    <t>Marrajo carite</t>
  </si>
  <si>
    <t>Petite taupe</t>
  </si>
  <si>
    <t>Longfin mako</t>
  </si>
  <si>
    <t>Isurus paucus</t>
  </si>
  <si>
    <t>LMA</t>
  </si>
  <si>
    <t>LBY</t>
  </si>
  <si>
    <t>Libya</t>
  </si>
  <si>
    <t>LL-B</t>
  </si>
  <si>
    <t>Alopias spp</t>
  </si>
  <si>
    <t>THR</t>
  </si>
  <si>
    <t>KOR</t>
  </si>
  <si>
    <t>Longline</t>
  </si>
  <si>
    <t>Zorro ojón</t>
  </si>
  <si>
    <t>Renard à gros yeux</t>
  </si>
  <si>
    <t>Bigeye thresher</t>
  </si>
  <si>
    <t>Alopias superciliosus</t>
  </si>
  <si>
    <t>BTH</t>
  </si>
  <si>
    <t>JPN</t>
  </si>
  <si>
    <t>Japan</t>
  </si>
  <si>
    <t>GearName</t>
  </si>
  <si>
    <t>GearGroup</t>
  </si>
  <si>
    <t>Zorro</t>
  </si>
  <si>
    <t>Renard</t>
  </si>
  <si>
    <t>Thresher</t>
  </si>
  <si>
    <t>Alopias vulpinus</t>
  </si>
  <si>
    <t>ALV</t>
  </si>
  <si>
    <t>ISL</t>
  </si>
  <si>
    <t>Iceland</t>
  </si>
  <si>
    <t>HND</t>
  </si>
  <si>
    <t>Honduras</t>
  </si>
  <si>
    <t>Peregrino</t>
  </si>
  <si>
    <t>Pèlerin</t>
  </si>
  <si>
    <t>Basking shark</t>
  </si>
  <si>
    <t>Cetorhinus maximus</t>
  </si>
  <si>
    <t>BSK</t>
  </si>
  <si>
    <t>GIN</t>
  </si>
  <si>
    <t>Not Applicable</t>
  </si>
  <si>
    <t>n/a</t>
  </si>
  <si>
    <t>GNQ</t>
  </si>
  <si>
    <t>Guinea Ecuatorial</t>
  </si>
  <si>
    <t>Free School</t>
  </si>
  <si>
    <t>FSC</t>
  </si>
  <si>
    <t>ICCAT</t>
  </si>
  <si>
    <t>Tiburón azul</t>
  </si>
  <si>
    <t>Peau bleue</t>
  </si>
  <si>
    <t>Blue shark</t>
  </si>
  <si>
    <t>Prionace glauca</t>
  </si>
  <si>
    <t>BSH</t>
  </si>
  <si>
    <t>GTM</t>
  </si>
  <si>
    <t>Guatemala</t>
  </si>
  <si>
    <t>Fish Aggregating Devices</t>
  </si>
  <si>
    <t>FAD</t>
  </si>
  <si>
    <t>Square: 5° latitude by 5° longitude</t>
  </si>
  <si>
    <t>5x5</t>
  </si>
  <si>
    <t>Marrajo sardinero</t>
  </si>
  <si>
    <t>Requin-taupe commun</t>
  </si>
  <si>
    <t>Porbeagle</t>
  </si>
  <si>
    <t>Lamna nasus</t>
  </si>
  <si>
    <t>POR</t>
  </si>
  <si>
    <t>GHA</t>
  </si>
  <si>
    <t>Ghana</t>
  </si>
  <si>
    <t>Unknown</t>
  </si>
  <si>
    <t>UNK</t>
  </si>
  <si>
    <t>Square: 1° latitude by 1° longitude</t>
  </si>
  <si>
    <t>1x1</t>
  </si>
  <si>
    <t>Marrajo dientuso</t>
  </si>
  <si>
    <t>Taupe bleue</t>
  </si>
  <si>
    <t>Shortfin mako</t>
  </si>
  <si>
    <t>Isurus oxyrinchus</t>
  </si>
  <si>
    <t>SMA</t>
  </si>
  <si>
    <t>GAB</t>
  </si>
  <si>
    <t>Gabon</t>
  </si>
  <si>
    <t>SchoolType</t>
  </si>
  <si>
    <t>Lampuga</t>
  </si>
  <si>
    <t>Coryphène commune</t>
  </si>
  <si>
    <t>Common dolphinfish</t>
  </si>
  <si>
    <t>Coryphaena hippurus</t>
  </si>
  <si>
    <t>DOL</t>
  </si>
  <si>
    <t>10x10</t>
  </si>
  <si>
    <t>Serra</t>
  </si>
  <si>
    <t>Thazard serra</t>
  </si>
  <si>
    <t>Serra Spanish mackerel</t>
  </si>
  <si>
    <t>Scomberomorus brasiliensis</t>
  </si>
  <si>
    <t>BRS</t>
  </si>
  <si>
    <t>Melva(=Melvera)</t>
  </si>
  <si>
    <t>Bonitou</t>
  </si>
  <si>
    <t>Bullet tuna</t>
  </si>
  <si>
    <t>Auxis rochei</t>
  </si>
  <si>
    <t>BLT</t>
  </si>
  <si>
    <t>Rectangle: 5° latitude by 10° longitude</t>
  </si>
  <si>
    <t>5x10</t>
  </si>
  <si>
    <t>Carite chinigua</t>
  </si>
  <si>
    <t>Thazard franc</t>
  </si>
  <si>
    <t>Cero</t>
  </si>
  <si>
    <t>Scomberomorus regalis</t>
  </si>
  <si>
    <t>CER</t>
  </si>
  <si>
    <t>Carite lusitánico</t>
  </si>
  <si>
    <t>Thazard blanc</t>
  </si>
  <si>
    <t>West African Spanish mackerel</t>
  </si>
  <si>
    <t>Scomberomorus tritor</t>
  </si>
  <si>
    <t>MAW</t>
  </si>
  <si>
    <t>Cannery</t>
  </si>
  <si>
    <t>CAN</t>
  </si>
  <si>
    <t>SquareTypeID</t>
  </si>
  <si>
    <t>Atún lanzón</t>
  </si>
  <si>
    <t>Thon élégant</t>
  </si>
  <si>
    <t>Slender tuna</t>
  </si>
  <si>
    <t>Allothunnus fallai</t>
  </si>
  <si>
    <t>SLT</t>
  </si>
  <si>
    <t>Freighter</t>
  </si>
  <si>
    <t>FRT</t>
  </si>
  <si>
    <t>BET</t>
  </si>
  <si>
    <t>BET-A</t>
  </si>
  <si>
    <t>Cold storage</t>
  </si>
  <si>
    <t>CST</t>
  </si>
  <si>
    <t>Carite lucio</t>
  </si>
  <si>
    <t>Thazard barré</t>
  </si>
  <si>
    <t>King mackerel</t>
  </si>
  <si>
    <t>Scomberomorus cavalla</t>
  </si>
  <si>
    <t>KGM</t>
  </si>
  <si>
    <t>While unloading</t>
  </si>
  <si>
    <t>WUL</t>
  </si>
  <si>
    <t>Carite atlántico</t>
  </si>
  <si>
    <t>Thazard atlantique</t>
  </si>
  <si>
    <t>Atlantic Spanish mackerel</t>
  </si>
  <si>
    <t>Scomberomorus maculatus</t>
  </si>
  <si>
    <t>SSM</t>
  </si>
  <si>
    <t>At sea</t>
  </si>
  <si>
    <t>ATS</t>
  </si>
  <si>
    <t>Peto</t>
  </si>
  <si>
    <t>Thazard-bâtard</t>
  </si>
  <si>
    <t>Wahoo</t>
  </si>
  <si>
    <t>Acanthocybium solandri</t>
  </si>
  <si>
    <t>WAH</t>
  </si>
  <si>
    <t>SamplingLocation</t>
  </si>
  <si>
    <t>BF63</t>
  </si>
  <si>
    <t>Tasarte</t>
  </si>
  <si>
    <t>Palomette</t>
  </si>
  <si>
    <t>Plain bonito</t>
  </si>
  <si>
    <t>Orcynopsis unicolor</t>
  </si>
  <si>
    <t>BOP</t>
  </si>
  <si>
    <t>Adriatic sea, Ionian sea, Ligurian sea, Sardenha, Strait of Sicily, Tyrrenean sea</t>
  </si>
  <si>
    <t>BF61</t>
  </si>
  <si>
    <t>Melva</t>
  </si>
  <si>
    <t>Auxide</t>
  </si>
  <si>
    <t>Frigate tuna</t>
  </si>
  <si>
    <t>Auxis thazard</t>
  </si>
  <si>
    <t>FRI</t>
  </si>
  <si>
    <t>BF60</t>
  </si>
  <si>
    <t>Bonito del Atlántico</t>
  </si>
  <si>
    <t>Bonite à dos rayé</t>
  </si>
  <si>
    <t>Atlantic bonito</t>
  </si>
  <si>
    <t>Sarda sarda</t>
  </si>
  <si>
    <t>BON</t>
  </si>
  <si>
    <t>Bacoreta</t>
  </si>
  <si>
    <t>Thonine commune</t>
  </si>
  <si>
    <t>Little tunny(=Atl.black skipj)</t>
  </si>
  <si>
    <t>Euthynnus alletteratus</t>
  </si>
  <si>
    <t>LTA</t>
  </si>
  <si>
    <t>BF55</t>
  </si>
  <si>
    <t>Atún aleta negra</t>
  </si>
  <si>
    <t>Thon à nageoires noires</t>
  </si>
  <si>
    <t>Blackfin tuna</t>
  </si>
  <si>
    <t>Thunnus atlanticus</t>
  </si>
  <si>
    <t>BLF</t>
  </si>
  <si>
    <t>Catches from Log-Books</t>
  </si>
  <si>
    <t>C.LB</t>
  </si>
  <si>
    <t>Landings from Shipping Agencies</t>
  </si>
  <si>
    <t>L.SA</t>
  </si>
  <si>
    <t>BFT-W</t>
  </si>
  <si>
    <t>BF51</t>
  </si>
  <si>
    <t>Marlín rayado</t>
  </si>
  <si>
    <t>Marlin rayé</t>
  </si>
  <si>
    <t>Striped marlin</t>
  </si>
  <si>
    <t>MLS</t>
  </si>
  <si>
    <t>Landings from Fish Markets</t>
  </si>
  <si>
    <t>L.FM</t>
  </si>
  <si>
    <t>Marlín peto</t>
  </si>
  <si>
    <t>Makaire épée</t>
  </si>
  <si>
    <t>Roundscale spearfish</t>
  </si>
  <si>
    <t>Tetrapturus georgii</t>
  </si>
  <si>
    <t>RSP</t>
  </si>
  <si>
    <t>Landings from Port Sampling</t>
  </si>
  <si>
    <t>L.PS</t>
  </si>
  <si>
    <t>Marlín trompa corta</t>
  </si>
  <si>
    <t>Makaire à rostre court</t>
  </si>
  <si>
    <t>Shortbill spearfish</t>
  </si>
  <si>
    <t>Tetrapturus angustirostris</t>
  </si>
  <si>
    <t>SSP</t>
  </si>
  <si>
    <t xml:space="preserve">Landings from Custom Authorities </t>
  </si>
  <si>
    <t>L.CA</t>
  </si>
  <si>
    <t>BF65</t>
  </si>
  <si>
    <t>Marlín del Mediterráneo</t>
  </si>
  <si>
    <t>Marlin de la Méditerranée</t>
  </si>
  <si>
    <t>Mediterranean spearfish</t>
  </si>
  <si>
    <t>Tetrapturus belone</t>
  </si>
  <si>
    <t>MSP</t>
  </si>
  <si>
    <t>Landings from Landing Ports</t>
  </si>
  <si>
    <t>L.PO</t>
  </si>
  <si>
    <t>Thunnus spp</t>
  </si>
  <si>
    <t>TUS</t>
  </si>
  <si>
    <t>DataSource</t>
  </si>
  <si>
    <t>BF62</t>
  </si>
  <si>
    <t>Carite oriental</t>
  </si>
  <si>
    <t>Thazard oriental</t>
  </si>
  <si>
    <t>Japanese Spanish mackerel</t>
  </si>
  <si>
    <t>Scomberomorus niphonius</t>
  </si>
  <si>
    <t>NPH</t>
  </si>
  <si>
    <t>BF59</t>
  </si>
  <si>
    <t>Istiophoridae</t>
  </si>
  <si>
    <t>BIL</t>
  </si>
  <si>
    <t>BF58</t>
  </si>
  <si>
    <t>Atún rojo del Sur</t>
  </si>
  <si>
    <t>Thon rouge du Sud</t>
  </si>
  <si>
    <t>Southern bluefin tuna</t>
  </si>
  <si>
    <t>Thunnus maccoyii</t>
  </si>
  <si>
    <t>SBF</t>
  </si>
  <si>
    <t>EGY</t>
  </si>
  <si>
    <t>Egypt</t>
  </si>
  <si>
    <t>BF57</t>
  </si>
  <si>
    <t>Aguja picuda</t>
  </si>
  <si>
    <t>Makaire bécune</t>
  </si>
  <si>
    <t>Longbill spearfish</t>
  </si>
  <si>
    <t>Tetrapturus pfluegeri</t>
  </si>
  <si>
    <t>CIV</t>
  </si>
  <si>
    <t>Pez espada</t>
  </si>
  <si>
    <t>Espadon</t>
  </si>
  <si>
    <t>Swordfish</t>
  </si>
  <si>
    <t>Xiphias gladius</t>
  </si>
  <si>
    <t>CHN</t>
  </si>
  <si>
    <t>China PR</t>
  </si>
  <si>
    <t>multiple trips</t>
  </si>
  <si>
    <t>TPM</t>
  </si>
  <si>
    <t>BF54</t>
  </si>
  <si>
    <t>Aguja blanca del Atlántico</t>
  </si>
  <si>
    <t>Makaire blanc de l'Atlantique</t>
  </si>
  <si>
    <t>Atlantic white marlin</t>
  </si>
  <si>
    <t>CPV</t>
  </si>
  <si>
    <t>single trip</t>
  </si>
  <si>
    <t>TPS</t>
  </si>
  <si>
    <t>BF53</t>
  </si>
  <si>
    <t>Aguja azul</t>
  </si>
  <si>
    <t>Makaire bleu</t>
  </si>
  <si>
    <t>Blue marlin</t>
  </si>
  <si>
    <t>Makaira nigricans</t>
  </si>
  <si>
    <t>Canada</t>
  </si>
  <si>
    <t>multiple hauls</t>
  </si>
  <si>
    <t>HLM</t>
  </si>
  <si>
    <t>BFT</t>
  </si>
  <si>
    <t>BFT-E</t>
  </si>
  <si>
    <t>BRA</t>
  </si>
  <si>
    <t>Brazil</t>
  </si>
  <si>
    <t>single haul</t>
  </si>
  <si>
    <t>HLS</t>
  </si>
  <si>
    <t>Northwest</t>
  </si>
  <si>
    <t>NW</t>
  </si>
  <si>
    <t>ALB-M</t>
  </si>
  <si>
    <t>AL35</t>
  </si>
  <si>
    <t>Listado</t>
  </si>
  <si>
    <t>Listao</t>
  </si>
  <si>
    <t>Skipjack tuna</t>
  </si>
  <si>
    <t>Katsuwonus pelamis</t>
  </si>
  <si>
    <t>BLZ</t>
  </si>
  <si>
    <t>Belize</t>
  </si>
  <si>
    <t>multiple sets</t>
  </si>
  <si>
    <t>STM</t>
  </si>
  <si>
    <t>Southwest</t>
  </si>
  <si>
    <t>SW</t>
  </si>
  <si>
    <t>AL34</t>
  </si>
  <si>
    <t>Patudo</t>
  </si>
  <si>
    <t>Thon obèse(=Patudo)</t>
  </si>
  <si>
    <t>Bigeye tuna</t>
  </si>
  <si>
    <t>Thunnus obesus</t>
  </si>
  <si>
    <t>BRB</t>
  </si>
  <si>
    <t>Barbados</t>
  </si>
  <si>
    <t>single set</t>
  </si>
  <si>
    <t>STS</t>
  </si>
  <si>
    <t>Southeast</t>
  </si>
  <si>
    <t>SE</t>
  </si>
  <si>
    <t>ALB-S</t>
  </si>
  <si>
    <t>AL33</t>
  </si>
  <si>
    <t>Atún blanco</t>
  </si>
  <si>
    <t>Germon</t>
  </si>
  <si>
    <t>Albacore</t>
  </si>
  <si>
    <t>Thunnus alalunga</t>
  </si>
  <si>
    <t>ALB</t>
  </si>
  <si>
    <t>AGO</t>
  </si>
  <si>
    <t>Angola</t>
  </si>
  <si>
    <t>CCM</t>
  </si>
  <si>
    <t>Northeast</t>
  </si>
  <si>
    <t>NE</t>
  </si>
  <si>
    <t>AL32</t>
  </si>
  <si>
    <t>Rabil</t>
  </si>
  <si>
    <t>Yellowfin tuna</t>
  </si>
  <si>
    <t>Thunnus albacares</t>
  </si>
  <si>
    <t>DZA</t>
  </si>
  <si>
    <t>Algerie</t>
  </si>
  <si>
    <t>ALB-N</t>
  </si>
  <si>
    <t>AL31</t>
  </si>
  <si>
    <t>Thunnus thynnus</t>
  </si>
  <si>
    <t>Albania</t>
  </si>
  <si>
    <t>SampleUnit</t>
  </si>
  <si>
    <t>QuadID</t>
  </si>
  <si>
    <t>Species</t>
  </si>
  <si>
    <t>ATorMD</t>
  </si>
  <si>
    <t>Version</t>
  </si>
  <si>
    <t>FieldID</t>
  </si>
  <si>
    <t>Item</t>
  </si>
  <si>
    <t>Translation for Forms</t>
  </si>
  <si>
    <t>subtitle</t>
  </si>
  <si>
    <t>item</t>
  </si>
  <si>
    <t>Specific (by field)</t>
  </si>
  <si>
    <t>Spécifique (par champ)</t>
  </si>
  <si>
    <t>Específico (por campo)</t>
  </si>
  <si>
    <t>Part</t>
  </si>
  <si>
    <t>Partie</t>
  </si>
  <si>
    <t>Parte</t>
  </si>
  <si>
    <t xml:space="preserve">Section </t>
  </si>
  <si>
    <t>Sección</t>
  </si>
  <si>
    <t>Sub-section</t>
  </si>
  <si>
    <t>Sous-section</t>
  </si>
  <si>
    <t>Sub-secciones</t>
  </si>
  <si>
    <t>Tête</t>
  </si>
  <si>
    <t>Cabecera</t>
  </si>
  <si>
    <t>Detalle</t>
  </si>
  <si>
    <t>a)</t>
  </si>
  <si>
    <t>b)</t>
  </si>
  <si>
    <t>c)</t>
  </si>
  <si>
    <t>d)</t>
  </si>
  <si>
    <t>e)</t>
  </si>
  <si>
    <t>Corresponsal estadístico</t>
  </si>
  <si>
    <t>Réservé au Secrétariat</t>
  </si>
  <si>
    <t>Other attributes</t>
  </si>
  <si>
    <t>Otros atributos</t>
  </si>
  <si>
    <t>field</t>
  </si>
  <si>
    <t>Date reported</t>
  </si>
  <si>
    <t>Fecha de notificación</t>
  </si>
  <si>
    <t>Reference Nº</t>
  </si>
  <si>
    <t>Nº Reference</t>
  </si>
  <si>
    <t>Nº Referencia</t>
  </si>
  <si>
    <t>File name (proposed)</t>
  </si>
  <si>
    <t>Nom du fichier (proposé)</t>
  </si>
  <si>
    <t>Nombre de archivo (propuesto)</t>
  </si>
  <si>
    <t>FRA</t>
  </si>
  <si>
    <t>Total catch (kg)</t>
  </si>
  <si>
    <t>Captura total (kg)</t>
  </si>
  <si>
    <t>NO</t>
  </si>
  <si>
    <t>ESP</t>
  </si>
  <si>
    <t>U</t>
  </si>
  <si>
    <t>M</t>
  </si>
  <si>
    <t>F</t>
  </si>
  <si>
    <t>I</t>
  </si>
  <si>
    <t>FlagName</t>
  </si>
  <si>
    <t>FlagA3ISO</t>
  </si>
  <si>
    <t>FlagA2ISO</t>
  </si>
  <si>
    <t>AL</t>
  </si>
  <si>
    <t>DZ</t>
  </si>
  <si>
    <t>AO</t>
  </si>
  <si>
    <t>BZ</t>
  </si>
  <si>
    <t>BR</t>
  </si>
  <si>
    <t>CA</t>
  </si>
  <si>
    <t>CV</t>
  </si>
  <si>
    <t>CN</t>
  </si>
  <si>
    <t>CI</t>
  </si>
  <si>
    <t>EG</t>
  </si>
  <si>
    <t>BEL</t>
  </si>
  <si>
    <t>BE</t>
  </si>
  <si>
    <t>BGR</t>
  </si>
  <si>
    <t>BG</t>
  </si>
  <si>
    <t>HRV</t>
  </si>
  <si>
    <t>HR</t>
  </si>
  <si>
    <t>CYP</t>
  </si>
  <si>
    <t>CY</t>
  </si>
  <si>
    <t>DNK</t>
  </si>
  <si>
    <t>DK</t>
  </si>
  <si>
    <t>ES</t>
  </si>
  <si>
    <t>EST</t>
  </si>
  <si>
    <t>EE</t>
  </si>
  <si>
    <t>FR</t>
  </si>
  <si>
    <t>DEU</t>
  </si>
  <si>
    <t>DE</t>
  </si>
  <si>
    <t>GRC</t>
  </si>
  <si>
    <t>GR</t>
  </si>
  <si>
    <t>HUN</t>
  </si>
  <si>
    <t>HU</t>
  </si>
  <si>
    <t>IRL</t>
  </si>
  <si>
    <t>IE</t>
  </si>
  <si>
    <t>ITA</t>
  </si>
  <si>
    <t>IT</t>
  </si>
  <si>
    <t>LVA</t>
  </si>
  <si>
    <t>LV</t>
  </si>
  <si>
    <t>LTU</t>
  </si>
  <si>
    <t>LT</t>
  </si>
  <si>
    <t>MLT</t>
  </si>
  <si>
    <t>MT</t>
  </si>
  <si>
    <t>NLD</t>
  </si>
  <si>
    <t>NL</t>
  </si>
  <si>
    <t>POL</t>
  </si>
  <si>
    <t>PL</t>
  </si>
  <si>
    <t>PRT</t>
  </si>
  <si>
    <t>PT</t>
  </si>
  <si>
    <t>SVN</t>
  </si>
  <si>
    <t>SI</t>
  </si>
  <si>
    <t>SWE</t>
  </si>
  <si>
    <t>GBR</t>
  </si>
  <si>
    <t>GB</t>
  </si>
  <si>
    <t>SPM</t>
  </si>
  <si>
    <t>PM</t>
  </si>
  <si>
    <t>GA</t>
  </si>
  <si>
    <t>GH</t>
  </si>
  <si>
    <t>GT</t>
  </si>
  <si>
    <t>GQ</t>
  </si>
  <si>
    <t>HN</t>
  </si>
  <si>
    <t>IS</t>
  </si>
  <si>
    <t>JP</t>
  </si>
  <si>
    <t>KR</t>
  </si>
  <si>
    <t>LY</t>
  </si>
  <si>
    <t>MA</t>
  </si>
  <si>
    <t>MR</t>
  </si>
  <si>
    <t>MX</t>
  </si>
  <si>
    <t>NA</t>
  </si>
  <si>
    <t>NI</t>
  </si>
  <si>
    <t>NG</t>
  </si>
  <si>
    <t>PA</t>
  </si>
  <si>
    <t>PH</t>
  </si>
  <si>
    <t>RU</t>
  </si>
  <si>
    <t>ST</t>
  </si>
  <si>
    <t>SN</t>
  </si>
  <si>
    <t>SL</t>
  </si>
  <si>
    <t>ZA</t>
  </si>
  <si>
    <t>VC</t>
  </si>
  <si>
    <t>SY</t>
  </si>
  <si>
    <t>TT</t>
  </si>
  <si>
    <t>US</t>
  </si>
  <si>
    <t>BMU</t>
  </si>
  <si>
    <t>VGB</t>
  </si>
  <si>
    <t>VG</t>
  </si>
  <si>
    <t>SHN</t>
  </si>
  <si>
    <t>SH</t>
  </si>
  <si>
    <t>TCA</t>
  </si>
  <si>
    <t>TC</t>
  </si>
  <si>
    <t>UY</t>
  </si>
  <si>
    <t>VU</t>
  </si>
  <si>
    <t>VE</t>
  </si>
  <si>
    <t>BO</t>
  </si>
  <si>
    <t>TWN</t>
  </si>
  <si>
    <t>CW</t>
  </si>
  <si>
    <t>SV</t>
  </si>
  <si>
    <t>SR</t>
  </si>
  <si>
    <t>AI</t>
  </si>
  <si>
    <t>AG</t>
  </si>
  <si>
    <t>AR</t>
  </si>
  <si>
    <t>AW</t>
  </si>
  <si>
    <t>BS</t>
  </si>
  <si>
    <t>BY</t>
  </si>
  <si>
    <t>BJ</t>
  </si>
  <si>
    <t>KH</t>
  </si>
  <si>
    <t>CM</t>
  </si>
  <si>
    <t>KY</t>
  </si>
  <si>
    <t>CL</t>
  </si>
  <si>
    <t>CO</t>
  </si>
  <si>
    <t>CG</t>
  </si>
  <si>
    <t>CR</t>
  </si>
  <si>
    <t>CU</t>
  </si>
  <si>
    <t>DM</t>
  </si>
  <si>
    <t>DO</t>
  </si>
  <si>
    <t>EC</t>
  </si>
  <si>
    <t>FK</t>
  </si>
  <si>
    <t>FO</t>
  </si>
  <si>
    <t>GM</t>
  </si>
  <si>
    <t>GE</t>
  </si>
  <si>
    <t>GD</t>
  </si>
  <si>
    <t>GW</t>
  </si>
  <si>
    <t>GY</t>
  </si>
  <si>
    <t>IN</t>
  </si>
  <si>
    <t>IR</t>
  </si>
  <si>
    <t>IL</t>
  </si>
  <si>
    <t>JM</t>
  </si>
  <si>
    <t>LB</t>
  </si>
  <si>
    <t>LR</t>
  </si>
  <si>
    <t>MY</t>
  </si>
  <si>
    <t>MU</t>
  </si>
  <si>
    <t>ME</t>
  </si>
  <si>
    <t>PR</t>
  </si>
  <si>
    <t>RO</t>
  </si>
  <si>
    <t>KN</t>
  </si>
  <si>
    <t>RS</t>
  </si>
  <si>
    <t>SC</t>
  </si>
  <si>
    <t>SG</t>
  </si>
  <si>
    <t>LC</t>
  </si>
  <si>
    <t>CH</t>
  </si>
  <si>
    <t>TH</t>
  </si>
  <si>
    <t>TG</t>
  </si>
  <si>
    <t>UA</t>
  </si>
  <si>
    <t>VI</t>
  </si>
  <si>
    <t>ScieName</t>
  </si>
  <si>
    <t>CoNameEN</t>
  </si>
  <si>
    <t>CoNameFR</t>
  </si>
  <si>
    <t>CoNameES</t>
  </si>
  <si>
    <t>IccSpcGrp</t>
  </si>
  <si>
    <t>TaxonType</t>
  </si>
  <si>
    <t>1-Tuna (major sp.)</t>
  </si>
  <si>
    <t>1-Species</t>
  </si>
  <si>
    <t>4-Family</t>
  </si>
  <si>
    <t>2-Genus</t>
  </si>
  <si>
    <t>Classe de taille</t>
  </si>
  <si>
    <t>szClass</t>
  </si>
  <si>
    <t>Number &amp; Gender</t>
  </si>
  <si>
    <t>Nombre &amp; Sexe</t>
  </si>
  <si>
    <t>Número &amp; Sexo</t>
  </si>
  <si>
    <t>Filter 1</t>
  </si>
  <si>
    <t>Filter 2</t>
  </si>
  <si>
    <t>Preliminary</t>
  </si>
  <si>
    <t>Revision (PARTIAL)</t>
  </si>
  <si>
    <t>single commercial cat.</t>
  </si>
  <si>
    <t>multiple commercial cat.</t>
  </si>
  <si>
    <t>FieldType</t>
  </si>
  <si>
    <t>FldNameEN</t>
  </si>
  <si>
    <t>FldNameFR</t>
  </si>
  <si>
    <t>FldNameES</t>
  </si>
  <si>
    <t>FldInstructEN</t>
  </si>
  <si>
    <t>FldInstructFR</t>
  </si>
  <si>
    <t>FldInstructES</t>
  </si>
  <si>
    <t>T00</t>
  </si>
  <si>
    <t>T01</t>
  </si>
  <si>
    <t>(fixed)</t>
  </si>
  <si>
    <t>Versión</t>
  </si>
  <si>
    <t>ICCAT code</t>
  </si>
  <si>
    <t>CICTA</t>
  </si>
  <si>
    <t>CICAA</t>
  </si>
  <si>
    <t>H10</t>
  </si>
  <si>
    <t>H20</t>
  </si>
  <si>
    <t>H30</t>
  </si>
  <si>
    <t>H40</t>
  </si>
  <si>
    <t>H11</t>
  </si>
  <si>
    <t>hName</t>
  </si>
  <si>
    <t>hEmail</t>
  </si>
  <si>
    <t>hPhone</t>
  </si>
  <si>
    <t>H12</t>
  </si>
  <si>
    <t>H21</t>
  </si>
  <si>
    <t>hInstit</t>
  </si>
  <si>
    <t>hDepart</t>
  </si>
  <si>
    <t>hAddress</t>
  </si>
  <si>
    <t>hCountry</t>
  </si>
  <si>
    <t>hFlagrep</t>
  </si>
  <si>
    <t>hVersion</t>
  </si>
  <si>
    <t>hSampunit</t>
  </si>
  <si>
    <t>hCatchtype</t>
  </si>
  <si>
    <t>hSzinterval</t>
  </si>
  <si>
    <t>hSzclasslim</t>
  </si>
  <si>
    <t>hDaterep</t>
  </si>
  <si>
    <t>hRef</t>
  </si>
  <si>
    <t>hFname</t>
  </si>
  <si>
    <t>hNotes</t>
  </si>
  <si>
    <t>hContent</t>
  </si>
  <si>
    <t>Content (data)</t>
  </si>
  <si>
    <t>Contenu (données)</t>
  </si>
  <si>
    <t>Contenido (datos)</t>
  </si>
  <si>
    <t>D00</t>
  </si>
  <si>
    <t>section</t>
  </si>
  <si>
    <t>D10</t>
  </si>
  <si>
    <t>D20</t>
  </si>
  <si>
    <t>D11</t>
  </si>
  <si>
    <t>D12</t>
  </si>
  <si>
    <t>D13</t>
  </si>
  <si>
    <t>D21</t>
  </si>
  <si>
    <t>D12a</t>
  </si>
  <si>
    <t>D13a</t>
  </si>
  <si>
    <t>General01</t>
  </si>
  <si>
    <t>General02</t>
  </si>
  <si>
    <t>General03</t>
  </si>
  <si>
    <t>General04</t>
  </si>
  <si>
    <t>General05</t>
  </si>
  <si>
    <t>H00</t>
  </si>
  <si>
    <t>subsection</t>
  </si>
  <si>
    <t>VersionDescrip</t>
  </si>
  <si>
    <t>Final</t>
  </si>
  <si>
    <t>Final estimations (no changes expected)</t>
  </si>
  <si>
    <t>Preliminary estimates (expected changes)</t>
  </si>
  <si>
    <t>Content</t>
  </si>
  <si>
    <t>Revision (FULL)</t>
  </si>
  <si>
    <t>T02</t>
  </si>
  <si>
    <t>Secretariat use only</t>
  </si>
  <si>
    <t>Reservado a la Secretaría</t>
  </si>
  <si>
    <t>Filtering criteria</t>
  </si>
  <si>
    <t>Critères de filtrage</t>
  </si>
  <si>
    <t>Criterios de filtrado</t>
  </si>
  <si>
    <t>H31</t>
  </si>
  <si>
    <t>Sampling attributes</t>
  </si>
  <si>
    <t>H32</t>
  </si>
  <si>
    <t>H33</t>
  </si>
  <si>
    <t>Reporting Flag</t>
  </si>
  <si>
    <t>integer</t>
  </si>
  <si>
    <t>hSpeciesCd</t>
  </si>
  <si>
    <t>Species (cod)</t>
  </si>
  <si>
    <t>Espèce (cod)</t>
  </si>
  <si>
    <t>Especie (cód)</t>
  </si>
  <si>
    <t>hLocationCd</t>
  </si>
  <si>
    <t>Location (cod)</t>
  </si>
  <si>
    <t>Lieu (cod)</t>
  </si>
  <si>
    <t>Lugar (cód)</t>
  </si>
  <si>
    <t>Samp unit (cod)</t>
  </si>
  <si>
    <t>Unité échantillon (cod)</t>
  </si>
  <si>
    <t>Unidad muestra (cód)</t>
  </si>
  <si>
    <t>hRaisedSuYN</t>
  </si>
  <si>
    <t>boolean</t>
  </si>
  <si>
    <t>Raised (SU) ?</t>
  </si>
  <si>
    <t>Extrapolé (SU) ?</t>
  </si>
  <si>
    <t>¿Extrapolada (SU) ?</t>
  </si>
  <si>
    <t>date</t>
  </si>
  <si>
    <t>Reservado a la Sacretaría</t>
  </si>
  <si>
    <t>Send the form to ICCAT with the proposed file name (if required, suffix it with an ID at the end)</t>
  </si>
  <si>
    <t>hFilter1</t>
  </si>
  <si>
    <t>Filtre 1</t>
  </si>
  <si>
    <t>Filtro 1</t>
  </si>
  <si>
    <t>hFilter2</t>
  </si>
  <si>
    <t>Filtre 2</t>
  </si>
  <si>
    <t>Filtro 2</t>
  </si>
  <si>
    <t>Sample attributes</t>
  </si>
  <si>
    <t>Attributs de l'échantillon</t>
  </si>
  <si>
    <t>Atributos de la muestra</t>
  </si>
  <si>
    <t>Fleet ID</t>
  </si>
  <si>
    <t>Flotte ID</t>
  </si>
  <si>
    <t>FlagVesCd</t>
  </si>
  <si>
    <t>Flag of Vessel (cod)</t>
  </si>
  <si>
    <t>Pavillon du navire (cod)</t>
  </si>
  <si>
    <t>Pabellón del buque (cód)</t>
  </si>
  <si>
    <t>GearCd</t>
  </si>
  <si>
    <t>Gear (cod)</t>
  </si>
  <si>
    <t>Engin (cod)</t>
  </si>
  <si>
    <t>Arte (cód)</t>
  </si>
  <si>
    <t>CatchTypeCd</t>
  </si>
  <si>
    <t>Catch type (cod)</t>
  </si>
  <si>
    <t>SchoolTypCd</t>
  </si>
  <si>
    <t>School t. (cod)</t>
  </si>
  <si>
    <t>T. Banc (cod)</t>
  </si>
  <si>
    <t>T. Cardumen (cód)</t>
  </si>
  <si>
    <t>SaAreaCd</t>
  </si>
  <si>
    <t>Sampling area (cod)</t>
  </si>
  <si>
    <t>Zone échantillonnage (cod)</t>
  </si>
  <si>
    <t>GeoGridCd</t>
  </si>
  <si>
    <t>Square t. (cod)</t>
  </si>
  <si>
    <t>T. Carré (cod)</t>
  </si>
  <si>
    <t>QuadCd</t>
  </si>
  <si>
    <t>Quad (cod)</t>
  </si>
  <si>
    <t>Carré (cod)</t>
  </si>
  <si>
    <t>Cuad (cód)</t>
  </si>
  <si>
    <t>DSourceCd</t>
  </si>
  <si>
    <t>Data source (cod)</t>
  </si>
  <si>
    <t>Sources données (cod)</t>
  </si>
  <si>
    <t>Fuente de datos (cód)</t>
  </si>
  <si>
    <t>float</t>
  </si>
  <si>
    <t>Sample unit ID (SU)</t>
  </si>
  <si>
    <t>Unité échantillon ID (SU)</t>
  </si>
  <si>
    <t>NoUs</t>
  </si>
  <si>
    <t xml:space="preserve">U </t>
  </si>
  <si>
    <t>Add to each class the Number of fish sampled (sex unknow)</t>
  </si>
  <si>
    <t>NoMs</t>
  </si>
  <si>
    <t>Add to each class the Number of fish sampled (males)</t>
  </si>
  <si>
    <t>Ajouter à chaque classe le nombre de poissons échantillonnés (mâles)</t>
  </si>
  <si>
    <t>Añadir en cada clase el número de peces muestreados (machos)</t>
  </si>
  <si>
    <t>NoFs</t>
  </si>
  <si>
    <t>Add to each class the Number of fish sampled (females)</t>
  </si>
  <si>
    <t>Ajouter à chaque classe le nombre de poissons échantillonnés (femelles)</t>
  </si>
  <si>
    <t>Añadir en cada clase el número de peces muestreados (hembras)</t>
  </si>
  <si>
    <t>NoIs</t>
  </si>
  <si>
    <t>Add to each class the Number of fish sampled (immatures)</t>
  </si>
  <si>
    <t>Ajouter à chaque classe le nombre de poissons échantillonnés (immatures)</t>
  </si>
  <si>
    <t>G00</t>
  </si>
  <si>
    <t>Instructions</t>
  </si>
  <si>
    <t>Instrucciones</t>
  </si>
  <si>
    <t>Instructions to complete the form</t>
  </si>
  <si>
    <t>Instructions pour remplir le formulaire</t>
  </si>
  <si>
    <t>G01</t>
  </si>
  <si>
    <t>G01a</t>
  </si>
  <si>
    <t>G01b</t>
  </si>
  <si>
    <t>G01c</t>
  </si>
  <si>
    <t>G01d</t>
  </si>
  <si>
    <t>G01e</t>
  </si>
  <si>
    <t>S00</t>
  </si>
  <si>
    <t>SC01</t>
  </si>
  <si>
    <t>Form</t>
  </si>
  <si>
    <t>Formulaire</t>
  </si>
  <si>
    <t>Formulario</t>
  </si>
  <si>
    <t>SC02</t>
  </si>
  <si>
    <t>SC03</t>
  </si>
  <si>
    <t>SC04</t>
  </si>
  <si>
    <t>SC05</t>
  </si>
  <si>
    <t>SC06</t>
  </si>
  <si>
    <t>SC07</t>
  </si>
  <si>
    <t>Title</t>
  </si>
  <si>
    <t>Titre</t>
  </si>
  <si>
    <t>Título</t>
  </si>
  <si>
    <t>Form Title</t>
  </si>
  <si>
    <t>Titre du formulaire</t>
  </si>
  <si>
    <t>Título del formulario</t>
  </si>
  <si>
    <t>Autres attributs</t>
  </si>
  <si>
    <t>Pabellón declarante</t>
  </si>
  <si>
    <t>Date de déclaration</t>
  </si>
  <si>
    <t>Enviar el formulario a ICCAT con el nombre del archivo propuesto (si necesario, añadir como sufijo un ID al final)</t>
  </si>
  <si>
    <t>Total poissons échantillonnés</t>
  </si>
  <si>
    <t>Indicar si las muestras asociadas proceden de capturas desembarcadas o descartadas, y si son descartadas si corresponden a descartes vivos o muertos</t>
  </si>
  <si>
    <t>Poids (kg)</t>
  </si>
  <si>
    <t>Ajouter à chaque classe le nombre de poissons échantillonnés (sexe inconnu)</t>
  </si>
  <si>
    <t>Añadir en cada clase el número de peces muestreados (inmaduros)</t>
  </si>
  <si>
    <t>Instrucciones para cumplimentar el formulario</t>
  </si>
  <si>
    <t>Recomendación para los usuarios con bases de datos: para pegar un conjunto de datos completo en la sección de información detallada (debe tener la misma estructura y formato) se debe utilizar "Paste special (values)"</t>
  </si>
  <si>
    <t>FishSaW</t>
  </si>
  <si>
    <t>FishSaN</t>
  </si>
  <si>
    <t>Filter</t>
  </si>
  <si>
    <t>Type</t>
  </si>
  <si>
    <t>Valid set</t>
  </si>
  <si>
    <t>Data must come in one of the valid SCRS electronic forms/Exchange formats</t>
  </si>
  <si>
    <t>global</t>
  </si>
  <si>
    <t>Header section must be complete</t>
  </si>
  <si>
    <t>Detail section must be filled-in using ICCAT codes</t>
  </si>
  <si>
    <t>form specific</t>
  </si>
  <si>
    <t>{mm}</t>
  </si>
  <si>
    <t>Proper geographic resolution by gear type (LL/surf)</t>
  </si>
  <si>
    <t>see "codes" sheet</t>
  </si>
  <si>
    <t>[ClassFreq % Interval = 0]</t>
  </si>
  <si>
    <t>Size classes within valid ranges [species Working Groups input] and class intervals smaller as possible</t>
  </si>
  <si>
    <t>Waiting SCRS</t>
  </si>
  <si>
    <r>
      <t xml:space="preserve">Table. </t>
    </r>
    <r>
      <rPr>
        <sz val="9"/>
        <rFont val="Calibri"/>
        <family val="2"/>
        <scheme val="minor"/>
      </rPr>
      <t>Sampling units</t>
    </r>
  </si>
  <si>
    <r>
      <t xml:space="preserve">Table. </t>
    </r>
    <r>
      <rPr>
        <sz val="9"/>
        <rFont val="Calibri"/>
        <family val="2"/>
        <scheme val="minor"/>
      </rPr>
      <t>Data sources</t>
    </r>
  </si>
  <si>
    <r>
      <t xml:space="preserve">Table. </t>
    </r>
    <r>
      <rPr>
        <sz val="9"/>
        <rFont val="Calibri"/>
        <family val="2"/>
        <scheme val="minor"/>
      </rPr>
      <t>Sampling locations</t>
    </r>
  </si>
  <si>
    <r>
      <t xml:space="preserve">Table. </t>
    </r>
    <r>
      <rPr>
        <sz val="9"/>
        <rFont val="Calibri"/>
        <family val="2"/>
        <scheme val="minor"/>
      </rPr>
      <t>School types</t>
    </r>
  </si>
  <si>
    <r>
      <t xml:space="preserve">Table. </t>
    </r>
    <r>
      <rPr>
        <sz val="9"/>
        <rFont val="Calibri"/>
        <family val="2"/>
        <scheme val="minor"/>
      </rPr>
      <t>Product types (form)</t>
    </r>
  </si>
  <si>
    <r>
      <t xml:space="preserve">Table. </t>
    </r>
    <r>
      <rPr>
        <sz val="9"/>
        <rFont val="Calibri"/>
        <family val="2"/>
        <scheme val="minor"/>
      </rPr>
      <t>Size class limits (boundaries)</t>
    </r>
  </si>
  <si>
    <r>
      <t xml:space="preserve">Table. </t>
    </r>
    <r>
      <rPr>
        <sz val="9"/>
        <rFont val="Calibri"/>
        <family val="2"/>
        <scheme val="minor"/>
      </rPr>
      <t xml:space="preserve">Catch data type </t>
    </r>
  </si>
  <si>
    <t>Table. Version types</t>
  </si>
  <si>
    <t>Table. Content types</t>
  </si>
  <si>
    <t>Table. Quadrants (identifiers &amp; codes)</t>
  </si>
  <si>
    <t>Table. Square types (identifiers &amp; codes)</t>
  </si>
  <si>
    <t>Table. Gears</t>
  </si>
  <si>
    <t>SCRS Filter criteria for acceptance/rejection of the data reported</t>
  </si>
  <si>
    <t>In force</t>
  </si>
  <si>
    <t>BLM</t>
  </si>
  <si>
    <t>Black marlin</t>
  </si>
  <si>
    <t>Makaire noir</t>
  </si>
  <si>
    <t>Aguja negra</t>
  </si>
  <si>
    <t>LEC</t>
  </si>
  <si>
    <t>Lepidocybium flavobrunneum</t>
  </si>
  <si>
    <t>Escolar</t>
  </si>
  <si>
    <t>Escolier noir</t>
  </si>
  <si>
    <t>Escolar negro</t>
  </si>
  <si>
    <t>BSF</t>
  </si>
  <si>
    <t>Aphanopus carbo</t>
  </si>
  <si>
    <t>black scabbardfish</t>
  </si>
  <si>
    <t>Sabre noir</t>
  </si>
  <si>
    <t>Sable negro</t>
  </si>
  <si>
    <t>GES</t>
  </si>
  <si>
    <t>Gempylus serpens</t>
  </si>
  <si>
    <t>Snake mackerel</t>
  </si>
  <si>
    <t>Escolier serpent</t>
  </si>
  <si>
    <t>Escolar de canal</t>
  </si>
  <si>
    <t>SFS</t>
  </si>
  <si>
    <t>Lepidopus caudatus</t>
  </si>
  <si>
    <t>Silver scabbardfish</t>
  </si>
  <si>
    <t>Sabre argenté</t>
  </si>
  <si>
    <t>Pez cinto</t>
  </si>
  <si>
    <t>OIL</t>
  </si>
  <si>
    <t>Ruvettus pretiosus</t>
  </si>
  <si>
    <t>Oilfish</t>
  </si>
  <si>
    <t>Rouvet</t>
  </si>
  <si>
    <t>Escolar clavo</t>
  </si>
  <si>
    <t>BUK</t>
  </si>
  <si>
    <t>Gasterochisma melampus</t>
  </si>
  <si>
    <t>Butterfly kingfish</t>
  </si>
  <si>
    <t>Thon papillon</t>
  </si>
  <si>
    <t>Atún chauchera</t>
  </si>
  <si>
    <t>KAW</t>
  </si>
  <si>
    <t>Euthynnus affinis</t>
  </si>
  <si>
    <t>Kawakawa</t>
  </si>
  <si>
    <t>Thonine orientale</t>
  </si>
  <si>
    <t>Bacoreta oriental</t>
  </si>
  <si>
    <t>Thunnini</t>
  </si>
  <si>
    <t>3-Tribe</t>
  </si>
  <si>
    <t>RHN</t>
  </si>
  <si>
    <t>Rhincodon typus</t>
  </si>
  <si>
    <t>Whale shark</t>
  </si>
  <si>
    <t>Requin baleine</t>
  </si>
  <si>
    <t>Tiburón ballena</t>
  </si>
  <si>
    <t>CCG</t>
  </si>
  <si>
    <t>Carcharhinus galapagensis</t>
  </si>
  <si>
    <t>Galapagos shark</t>
  </si>
  <si>
    <t>Requin des Galapagos</t>
  </si>
  <si>
    <t>Tiburón de Galápagos</t>
  </si>
  <si>
    <t>ISB</t>
  </si>
  <si>
    <t>Isistius brasiliensis</t>
  </si>
  <si>
    <t>Cookie cutter shark</t>
  </si>
  <si>
    <t>Squalelet féroce</t>
  </si>
  <si>
    <t>Tollo cigarro</t>
  </si>
  <si>
    <t>LMP</t>
  </si>
  <si>
    <t>Megachasma pelagios</t>
  </si>
  <si>
    <t>Megamouth shark</t>
  </si>
  <si>
    <t>Requin grande guele</t>
  </si>
  <si>
    <t>Tiburón bocudo</t>
  </si>
  <si>
    <t>RMH</t>
  </si>
  <si>
    <t>Mobula hypostoma</t>
  </si>
  <si>
    <t>Lesser devil ray</t>
  </si>
  <si>
    <t>Mante diable</t>
  </si>
  <si>
    <t>Manta del Golfo</t>
  </si>
  <si>
    <t>RMM</t>
  </si>
  <si>
    <t>Mobula mobular</t>
  </si>
  <si>
    <t>Devil fish</t>
  </si>
  <si>
    <t>Diable de mer méditerranéen</t>
  </si>
  <si>
    <t>Manta mobula</t>
  </si>
  <si>
    <t>RMO</t>
  </si>
  <si>
    <t>Mobula thurstoni</t>
  </si>
  <si>
    <t>Smoothtail mobula</t>
  </si>
  <si>
    <t>Mante vampire</t>
  </si>
  <si>
    <t>Diablo chupasangre</t>
  </si>
  <si>
    <t>RMT</t>
  </si>
  <si>
    <t>Mobula tarapacana</t>
  </si>
  <si>
    <t>Chilean devil ray</t>
  </si>
  <si>
    <t>MAN</t>
  </si>
  <si>
    <t>Mobulidae</t>
  </si>
  <si>
    <t>STT</t>
  </si>
  <si>
    <t>Dasyatidae</t>
  </si>
  <si>
    <t>CVJ</t>
  </si>
  <si>
    <t>Caranx hippos</t>
  </si>
  <si>
    <t>Crevalle jack</t>
  </si>
  <si>
    <t>Carangue crevalle</t>
  </si>
  <si>
    <t>Jurel común</t>
  </si>
  <si>
    <t>GBA</t>
  </si>
  <si>
    <t>Sphyraena barracuda</t>
  </si>
  <si>
    <t>Great barracuda</t>
  </si>
  <si>
    <t>Barracuda</t>
  </si>
  <si>
    <t>Picuda barracuda</t>
  </si>
  <si>
    <t>YTC</t>
  </si>
  <si>
    <t>Seriola lalandi</t>
  </si>
  <si>
    <t>Yellowtail amberjack</t>
  </si>
  <si>
    <t>Sériole chicard</t>
  </si>
  <si>
    <t>Medregal rabo amarillo</t>
  </si>
  <si>
    <t>SAU</t>
  </si>
  <si>
    <t>Scomberesox saurus</t>
  </si>
  <si>
    <t>Atlantic saury</t>
  </si>
  <si>
    <t>Balaou atlantique</t>
  </si>
  <si>
    <t>Paparda del Atlántico</t>
  </si>
  <si>
    <t>POA</t>
  </si>
  <si>
    <t>Brama brama</t>
  </si>
  <si>
    <t>Atlantic pomfret</t>
  </si>
  <si>
    <t>Grande castagnole</t>
  </si>
  <si>
    <t>Japuta</t>
  </si>
  <si>
    <t>AMB</t>
  </si>
  <si>
    <t>Seriola dumerili</t>
  </si>
  <si>
    <t>Greater amberjack</t>
  </si>
  <si>
    <t>Sériole couronnée</t>
  </si>
  <si>
    <t>Pez de limón</t>
  </si>
  <si>
    <t>AWI</t>
  </si>
  <si>
    <t>Aluterus schoepfii</t>
  </si>
  <si>
    <t>Orange filefish</t>
  </si>
  <si>
    <t>Bourse orange</t>
  </si>
  <si>
    <t>Lija naranja</t>
  </si>
  <si>
    <t>BVP</t>
  </si>
  <si>
    <t>Balistes punctatus</t>
  </si>
  <si>
    <t>Bluespotted triggerfish</t>
  </si>
  <si>
    <t>Baliste à taches bleues</t>
  </si>
  <si>
    <t>Pejepuerco moteado</t>
  </si>
  <si>
    <t>EXQ</t>
  </si>
  <si>
    <t>Euleptorhamphus velox</t>
  </si>
  <si>
    <t>Flying halfbeak</t>
  </si>
  <si>
    <t>Demi-bec volant</t>
  </si>
  <si>
    <t>Agujeta voladora</t>
  </si>
  <si>
    <t>LGH</t>
  </si>
  <si>
    <t>Lagocephalus lagocephalus</t>
  </si>
  <si>
    <t>Oceanic puffer</t>
  </si>
  <si>
    <t>Compère océanique</t>
  </si>
  <si>
    <t>Tamboril liebre</t>
  </si>
  <si>
    <t>ALM</t>
  </si>
  <si>
    <t>Aluterus monoceros</t>
  </si>
  <si>
    <t>Unicorn leatherjacket filefish</t>
  </si>
  <si>
    <t>Bourse loulou</t>
  </si>
  <si>
    <t>Lija barbuda</t>
  </si>
  <si>
    <t>CBA</t>
  </si>
  <si>
    <t>Rachycentron canadum</t>
  </si>
  <si>
    <t>Cobia</t>
  </si>
  <si>
    <t>Mafou</t>
  </si>
  <si>
    <t>CFW</t>
  </si>
  <si>
    <t>Coryphaena equiselis</t>
  </si>
  <si>
    <t>Pompano dolphinfish</t>
  </si>
  <si>
    <t>Coryphène dauphin</t>
  </si>
  <si>
    <t>Dorado</t>
  </si>
  <si>
    <t>CNT</t>
  </si>
  <si>
    <t>Canthidermis maculata</t>
  </si>
  <si>
    <t>Rough triggerfish</t>
  </si>
  <si>
    <t>Baliste rude</t>
  </si>
  <si>
    <t>Calafate áspero</t>
  </si>
  <si>
    <t>DIY</t>
  </si>
  <si>
    <t>Diodon hystrix</t>
  </si>
  <si>
    <t>Porc-épic boubou</t>
  </si>
  <si>
    <t>Pejerizo común</t>
  </si>
  <si>
    <t>GAR</t>
  </si>
  <si>
    <t>Belone belone</t>
  </si>
  <si>
    <t>Garfish</t>
  </si>
  <si>
    <t>Orphie</t>
  </si>
  <si>
    <t>Aguja</t>
  </si>
  <si>
    <t>HMM</t>
  </si>
  <si>
    <t>Trachurus mediterraneus</t>
  </si>
  <si>
    <t>Mediterranean horse mackerel</t>
  </si>
  <si>
    <t>Chinchard à queue jaune</t>
  </si>
  <si>
    <t>Jurel mediterráneo</t>
  </si>
  <si>
    <t>LEE</t>
  </si>
  <si>
    <t>Lichia amia</t>
  </si>
  <si>
    <t>Leerfish</t>
  </si>
  <si>
    <t>Liche</t>
  </si>
  <si>
    <t>Palometón</t>
  </si>
  <si>
    <t>MOX</t>
  </si>
  <si>
    <t>Mola mola</t>
  </si>
  <si>
    <t>Ocean sunfish</t>
  </si>
  <si>
    <t>Poisson lune</t>
  </si>
  <si>
    <t>Pez luna</t>
  </si>
  <si>
    <t>MRW</t>
  </si>
  <si>
    <t>Masturus lanceolatus</t>
  </si>
  <si>
    <t>Sharptail mola</t>
  </si>
  <si>
    <t>Poisson-lune lancéolé</t>
  </si>
  <si>
    <t>NAU</t>
  </si>
  <si>
    <t>Naucrates ductor</t>
  </si>
  <si>
    <t>Pilotfish</t>
  </si>
  <si>
    <t>Poisson pilote</t>
  </si>
  <si>
    <t>Pez piloto</t>
  </si>
  <si>
    <t>RRU</t>
  </si>
  <si>
    <t>Elagatis bipinnulata</t>
  </si>
  <si>
    <t>Rainbow runner</t>
  </si>
  <si>
    <t>Comète saumon</t>
  </si>
  <si>
    <t>Macarela salmón</t>
  </si>
  <si>
    <t>RUB</t>
  </si>
  <si>
    <t>Caranx crysos</t>
  </si>
  <si>
    <t>Blue runner</t>
  </si>
  <si>
    <t>Carangue coubali</t>
  </si>
  <si>
    <t>Cojinúa negra</t>
  </si>
  <si>
    <t>RZV</t>
  </si>
  <si>
    <t>Ranzania laevis</t>
  </si>
  <si>
    <t>Slender sunfish</t>
  </si>
  <si>
    <t>Ranzania</t>
  </si>
  <si>
    <t>TAL</t>
  </si>
  <si>
    <t>Taractichthys longipinnis</t>
  </si>
  <si>
    <t>Big-scale pomfret</t>
  </si>
  <si>
    <t>Castagnole fauchoir</t>
  </si>
  <si>
    <t>Tristón aletudo</t>
  </si>
  <si>
    <t>TAS</t>
  </si>
  <si>
    <t>Taractes asper</t>
  </si>
  <si>
    <t>Rough pomfret</t>
  </si>
  <si>
    <t>TCR</t>
  </si>
  <si>
    <t>Taractes rubescens</t>
  </si>
  <si>
    <t>Dagger pomfret</t>
  </si>
  <si>
    <t>TRG</t>
  </si>
  <si>
    <t>Grey triggerfish</t>
  </si>
  <si>
    <t>Baliste cabri</t>
  </si>
  <si>
    <t>Pejepuerco blanco</t>
  </si>
  <si>
    <t>TST</t>
  </si>
  <si>
    <t>Taractichthys steindachneri</t>
  </si>
  <si>
    <t>Sickle pomfret</t>
  </si>
  <si>
    <t>Tristón segador</t>
  </si>
  <si>
    <t>USE</t>
  </si>
  <si>
    <t>Uraspis secunda</t>
  </si>
  <si>
    <t>Cottonmouth jack</t>
  </si>
  <si>
    <t>Carangue coton</t>
  </si>
  <si>
    <t>Jurel volantín</t>
  </si>
  <si>
    <t>VAD</t>
  </si>
  <si>
    <t>Campogramma glaycos</t>
  </si>
  <si>
    <t>Vadigo</t>
  </si>
  <si>
    <t>Liche lirio</t>
  </si>
  <si>
    <t>Lirio</t>
  </si>
  <si>
    <t>YTL</t>
  </si>
  <si>
    <t>Seriola rivoliana</t>
  </si>
  <si>
    <t>Longfin yellowtail</t>
  </si>
  <si>
    <t>Sériole limon</t>
  </si>
  <si>
    <t>Medregal limón</t>
  </si>
  <si>
    <t>BAZ</t>
  </si>
  <si>
    <t>Sphyraenidae</t>
  </si>
  <si>
    <t>FLY</t>
  </si>
  <si>
    <t>Exocoetidae</t>
  </si>
  <si>
    <t>TRI</t>
  </si>
  <si>
    <t>Balistidae</t>
  </si>
  <si>
    <t>SEL</t>
  </si>
  <si>
    <t>South American sea lion</t>
  </si>
  <si>
    <t>Lion de mer d'Amérique du Sud</t>
  </si>
  <si>
    <t>Lobo común</t>
  </si>
  <si>
    <t>BCW</t>
  </si>
  <si>
    <t>Ziphius cavirostris</t>
  </si>
  <si>
    <t>Cuvier's beaked whale</t>
  </si>
  <si>
    <t>Ziphius</t>
  </si>
  <si>
    <t>Zifio de Cuvier</t>
  </si>
  <si>
    <t>BRW</t>
  </si>
  <si>
    <t>Balaenoptera edeni</t>
  </si>
  <si>
    <t>Bryde's whale</t>
  </si>
  <si>
    <t>Rorqual de Bryde</t>
  </si>
  <si>
    <t>Rorcual tropical</t>
  </si>
  <si>
    <t>DBO</t>
  </si>
  <si>
    <t>Tursiops truncatus</t>
  </si>
  <si>
    <t>Bottlenose dolphin</t>
  </si>
  <si>
    <t>Grand Dauphin</t>
  </si>
  <si>
    <t>Tursion</t>
  </si>
  <si>
    <t>DCL</t>
  </si>
  <si>
    <t>Stenella clymene</t>
  </si>
  <si>
    <t>Clymene dolphin</t>
  </si>
  <si>
    <t>Dauphin de Clyméné</t>
  </si>
  <si>
    <t>Delfín Clymene</t>
  </si>
  <si>
    <t>DCO</t>
  </si>
  <si>
    <t>Delphinus delphis</t>
  </si>
  <si>
    <t>Common dolphin</t>
  </si>
  <si>
    <t>Dauphin commun</t>
  </si>
  <si>
    <t>Delfín común</t>
  </si>
  <si>
    <t>DPN</t>
  </si>
  <si>
    <t>Stenella attenuata</t>
  </si>
  <si>
    <t>Pantropical spotted dolphin</t>
  </si>
  <si>
    <t>Dauphin tacheté pantropical</t>
  </si>
  <si>
    <t>Estenela moteada</t>
  </si>
  <si>
    <t>DRR</t>
  </si>
  <si>
    <t>Grampus griseus</t>
  </si>
  <si>
    <t>Risso's dolphin</t>
  </si>
  <si>
    <t>Grampus</t>
  </si>
  <si>
    <t>Delfín de Risso</t>
  </si>
  <si>
    <t>DSA</t>
  </si>
  <si>
    <t>Stenella frontalis</t>
  </si>
  <si>
    <t>Atlantic spotted dolphin</t>
  </si>
  <si>
    <t>Dauphin tacheté de l'Atlantiq.</t>
  </si>
  <si>
    <t>Delfín pintado</t>
  </si>
  <si>
    <t>DSI</t>
  </si>
  <si>
    <t>Stenella longirostris</t>
  </si>
  <si>
    <t>Spinner dolphin</t>
  </si>
  <si>
    <t>Dauphin longirostre</t>
  </si>
  <si>
    <t>Estenela giradora</t>
  </si>
  <si>
    <t>DST</t>
  </si>
  <si>
    <t>Stenella coeruleoalba</t>
  </si>
  <si>
    <t>Striped dolphin</t>
  </si>
  <si>
    <t>Dauphin bleu et blanc</t>
  </si>
  <si>
    <t>Estenela listada</t>
  </si>
  <si>
    <t>DWH</t>
  </si>
  <si>
    <t>Lagenorhynchus acutus</t>
  </si>
  <si>
    <t>Atlantic white-sided dolphin</t>
  </si>
  <si>
    <t>Dauphin à flancs blancs Atlan.</t>
  </si>
  <si>
    <t>Delfín de flancos blancos</t>
  </si>
  <si>
    <t>EUA</t>
  </si>
  <si>
    <t>Eubalaena australis</t>
  </si>
  <si>
    <t>Southern right whale</t>
  </si>
  <si>
    <t>Baleine australe</t>
  </si>
  <si>
    <t>Ballena franca austral</t>
  </si>
  <si>
    <t>EUG</t>
  </si>
  <si>
    <t>Eubalaena glacialis</t>
  </si>
  <si>
    <t>Northern right whale</t>
  </si>
  <si>
    <t>Baleine de Biscaye</t>
  </si>
  <si>
    <t>Ballena franca</t>
  </si>
  <si>
    <t>FAW</t>
  </si>
  <si>
    <t>Pseudorca crassidens</t>
  </si>
  <si>
    <t>False killer whale</t>
  </si>
  <si>
    <t>Faux-orque</t>
  </si>
  <si>
    <t>Orca Falsa</t>
  </si>
  <si>
    <t>FIW</t>
  </si>
  <si>
    <t>Balaenoptera physalus</t>
  </si>
  <si>
    <t>Fin whale</t>
  </si>
  <si>
    <t>Rorqual commun</t>
  </si>
  <si>
    <t>Rorcual común</t>
  </si>
  <si>
    <t>HUW</t>
  </si>
  <si>
    <t>Megaptera novaeangliae</t>
  </si>
  <si>
    <t>Humpback whale</t>
  </si>
  <si>
    <t>Baleine à bosse</t>
  </si>
  <si>
    <t>Rorcual jorobado</t>
  </si>
  <si>
    <t>KIW</t>
  </si>
  <si>
    <t>Orcinus orca</t>
  </si>
  <si>
    <t>Killer whale</t>
  </si>
  <si>
    <t>Orque</t>
  </si>
  <si>
    <t>Orca</t>
  </si>
  <si>
    <t>MIW</t>
  </si>
  <si>
    <t>Balaenoptera acutorostrata</t>
  </si>
  <si>
    <t>Minke whale</t>
  </si>
  <si>
    <t>Petit rorqual</t>
  </si>
  <si>
    <t>Rorcual enano</t>
  </si>
  <si>
    <t>PHR</t>
  </si>
  <si>
    <t>Phocoena phocoena</t>
  </si>
  <si>
    <t>Harbour porpoise</t>
  </si>
  <si>
    <t>Marsouin Commun</t>
  </si>
  <si>
    <t>Marsopa Común</t>
  </si>
  <si>
    <t>PIW</t>
  </si>
  <si>
    <t>Globicephala melas</t>
  </si>
  <si>
    <t>Long-finned pilot whale</t>
  </si>
  <si>
    <t>Globicéphale commun</t>
  </si>
  <si>
    <t>Calderón común</t>
  </si>
  <si>
    <t>PYW</t>
  </si>
  <si>
    <t>Kogia breviceps</t>
  </si>
  <si>
    <t>Pygmy sperm whale</t>
  </si>
  <si>
    <t>Cachalot Pygmée</t>
  </si>
  <si>
    <t>Cachalote pigmeo</t>
  </si>
  <si>
    <t>RTD</t>
  </si>
  <si>
    <t>Steno bredanensis</t>
  </si>
  <si>
    <t>Rough-toothed dolphin</t>
  </si>
  <si>
    <t>Sténo</t>
  </si>
  <si>
    <t>Esteno</t>
  </si>
  <si>
    <t>SHW</t>
  </si>
  <si>
    <t>Globicephala macrorhynchus</t>
  </si>
  <si>
    <t>Short-finned pilot whale</t>
  </si>
  <si>
    <t>Globicéphale tropical</t>
  </si>
  <si>
    <t>Calderón de aletas cortas</t>
  </si>
  <si>
    <t>SIW</t>
  </si>
  <si>
    <t>Balaenoptera borealis</t>
  </si>
  <si>
    <t>Sei whale</t>
  </si>
  <si>
    <t>Rorqual de Rudolphi</t>
  </si>
  <si>
    <t>Rorcual del Norte</t>
  </si>
  <si>
    <t>SPW</t>
  </si>
  <si>
    <t>Physeter macrocephalus</t>
  </si>
  <si>
    <t>Sperm whale</t>
  </si>
  <si>
    <t>Cachalot</t>
  </si>
  <si>
    <t>Cachalote</t>
  </si>
  <si>
    <t>SXQ</t>
  </si>
  <si>
    <t>Arctocephalus spp</t>
  </si>
  <si>
    <t>MEP</t>
  </si>
  <si>
    <t>Mesoplodon spp</t>
  </si>
  <si>
    <t>DLP</t>
  </si>
  <si>
    <t>Delphinidae</t>
  </si>
  <si>
    <t>CZE</t>
  </si>
  <si>
    <t>Calonectris edwardsii</t>
  </si>
  <si>
    <t>Cape Verde Shearwater</t>
  </si>
  <si>
    <t>Puffin du Cap-Vert</t>
  </si>
  <si>
    <t>Pardela cenicienta de Edwards</t>
  </si>
  <si>
    <t>FPA</t>
  </si>
  <si>
    <t>Fratercula arctica</t>
  </si>
  <si>
    <t>Atlantic puffin</t>
  </si>
  <si>
    <t>Macareux moine</t>
  </si>
  <si>
    <t>Frailecillo atlántico</t>
  </si>
  <si>
    <t>FNO</t>
  </si>
  <si>
    <t>Fulmarus glacialis</t>
  </si>
  <si>
    <t>Northern fulmar</t>
  </si>
  <si>
    <t>Fulmar boréal</t>
  </si>
  <si>
    <t>Fulmar norteño</t>
  </si>
  <si>
    <t>LHZ</t>
  </si>
  <si>
    <t>Larus argentatus</t>
  </si>
  <si>
    <t>Herring gull</t>
  </si>
  <si>
    <t>Goéland argenté</t>
  </si>
  <si>
    <t>Gaviota argéntea</t>
  </si>
  <si>
    <t>Larus atricilla</t>
  </si>
  <si>
    <t>Laughing gull</t>
  </si>
  <si>
    <t>Mouette atricille</t>
  </si>
  <si>
    <t>Gaviota reidora americana</t>
  </si>
  <si>
    <t>LVH</t>
  </si>
  <si>
    <t>Larus audouinii</t>
  </si>
  <si>
    <t>Audouin's gull</t>
  </si>
  <si>
    <t>Goéland d'Audouin</t>
  </si>
  <si>
    <t>Gaviota de Audouin</t>
  </si>
  <si>
    <t>LVJ</t>
  </si>
  <si>
    <t>Larus cachinnans</t>
  </si>
  <si>
    <t>LVU</t>
  </si>
  <si>
    <t>Larus marinus</t>
  </si>
  <si>
    <t>Great black-backed gull</t>
  </si>
  <si>
    <t>Goéland marin</t>
  </si>
  <si>
    <t>Gavión atlántico</t>
  </si>
  <si>
    <t>MVB</t>
  </si>
  <si>
    <t>Morus bassanus</t>
  </si>
  <si>
    <t>Northern gannet</t>
  </si>
  <si>
    <t>Fou De Bassan</t>
  </si>
  <si>
    <t>Alcatraz Atlántico</t>
  </si>
  <si>
    <t>MWE</t>
  </si>
  <si>
    <t>Morus capensis</t>
  </si>
  <si>
    <t>Cape gannet</t>
  </si>
  <si>
    <t>Fou Du Cap</t>
  </si>
  <si>
    <t>Alcatraz del Cabo</t>
  </si>
  <si>
    <t>DAQ</t>
  </si>
  <si>
    <t>Phoebastria albatrus</t>
  </si>
  <si>
    <t>Short-tailed albatross</t>
  </si>
  <si>
    <t>Albatros à queue courte</t>
  </si>
  <si>
    <t>Albatros rabón</t>
  </si>
  <si>
    <t>PJZ</t>
  </si>
  <si>
    <t>Pterodroma arminjoniana</t>
  </si>
  <si>
    <t>Trindade petrel</t>
  </si>
  <si>
    <t>Pétrel de la Trinité du Sud</t>
  </si>
  <si>
    <t>Petrel de la Trinidade</t>
  </si>
  <si>
    <t>HJW</t>
  </si>
  <si>
    <t>Pterodroma cahow</t>
  </si>
  <si>
    <t>Bermuda petrel</t>
  </si>
  <si>
    <t>Pétrel des Bermudes</t>
  </si>
  <si>
    <t>Petrel Cahow</t>
  </si>
  <si>
    <t>HWS</t>
  </si>
  <si>
    <t>Pterodroma hasitata</t>
  </si>
  <si>
    <t>Black-capped petrel</t>
  </si>
  <si>
    <t>Pétrel diablotin</t>
  </si>
  <si>
    <t>Petrel antillano</t>
  </si>
  <si>
    <t>UIL</t>
  </si>
  <si>
    <t>Puffinus lherminieri</t>
  </si>
  <si>
    <t>Audubon's shearwater</t>
  </si>
  <si>
    <t>Puffin d'Audubon</t>
  </si>
  <si>
    <t>Pardela de Audubon</t>
  </si>
  <si>
    <t>UIM</t>
  </si>
  <si>
    <t>Puffinus mauretanicus</t>
  </si>
  <si>
    <t>Balearic shearwater</t>
  </si>
  <si>
    <t>Puffin des Baléares</t>
  </si>
  <si>
    <t>Pardela pichoneta balear</t>
  </si>
  <si>
    <t>UIP</t>
  </si>
  <si>
    <t>Puffinus puffinus</t>
  </si>
  <si>
    <t>Manx shearwater</t>
  </si>
  <si>
    <t>Puffin des anglais</t>
  </si>
  <si>
    <t>Pardela pichoneta</t>
  </si>
  <si>
    <t>UYE</t>
  </si>
  <si>
    <t>Puffinus yelkouan</t>
  </si>
  <si>
    <t>Yelkouan shearwater</t>
  </si>
  <si>
    <t>Puffin de Méditerranée</t>
  </si>
  <si>
    <t>Pardela mediterránea</t>
  </si>
  <si>
    <t>CDI</t>
  </si>
  <si>
    <t>Calonectris diomedea</t>
  </si>
  <si>
    <t>Cory's shearwater</t>
  </si>
  <si>
    <t>Puffin cendré</t>
  </si>
  <si>
    <t>Pardela cenicienta</t>
  </si>
  <si>
    <t>CSK</t>
  </si>
  <si>
    <t>Great skua</t>
  </si>
  <si>
    <t>Grand Labbe</t>
  </si>
  <si>
    <t>Págalo Grande</t>
  </si>
  <si>
    <t>DAC</t>
  </si>
  <si>
    <t>Daption capense</t>
  </si>
  <si>
    <t>Cape petrel</t>
  </si>
  <si>
    <t>Damier Du Cap</t>
  </si>
  <si>
    <t>Petrel darnero</t>
  </si>
  <si>
    <t>DBN</t>
  </si>
  <si>
    <t>Diomedea dabbenena</t>
  </si>
  <si>
    <t>Tristan albatross</t>
  </si>
  <si>
    <t>Albatros de Tristan</t>
  </si>
  <si>
    <t>Albatros de Tristán</t>
  </si>
  <si>
    <t>DCR</t>
  </si>
  <si>
    <t>Thalassarche chlororhynchos</t>
  </si>
  <si>
    <t>Atlant. yellow-nosed albatross</t>
  </si>
  <si>
    <t>Albatros à nez jaune</t>
  </si>
  <si>
    <t>Albatros pico amarillo y negro</t>
  </si>
  <si>
    <t>DCU</t>
  </si>
  <si>
    <t>Thalassarche cauta</t>
  </si>
  <si>
    <t>Shy albatross</t>
  </si>
  <si>
    <t>Albatros timide</t>
  </si>
  <si>
    <t>Albatros Frentiblanco</t>
  </si>
  <si>
    <t>DIC</t>
  </si>
  <si>
    <t>Thalassarche chrysostoma</t>
  </si>
  <si>
    <t>Grey-headed albatross</t>
  </si>
  <si>
    <t>Albatros À Tête Grise</t>
  </si>
  <si>
    <t>Albatros de cabeza gris</t>
  </si>
  <si>
    <t>DIM</t>
  </si>
  <si>
    <t>Black-browed albatross</t>
  </si>
  <si>
    <t>Albatros à sourcils noirs</t>
  </si>
  <si>
    <t>Albatros ceja negra</t>
  </si>
  <si>
    <t>DIP</t>
  </si>
  <si>
    <t>Diomedea epomophora</t>
  </si>
  <si>
    <t>Southern royal albatross</t>
  </si>
  <si>
    <t>Albatros royal</t>
  </si>
  <si>
    <t>Albatros real</t>
  </si>
  <si>
    <t>DIQ</t>
  </si>
  <si>
    <t>Diomedea sanfordi</t>
  </si>
  <si>
    <t>Northern royal albatross</t>
  </si>
  <si>
    <t>Albatros royal du Nord</t>
  </si>
  <si>
    <t>Albatros real del norte</t>
  </si>
  <si>
    <t>DIX</t>
  </si>
  <si>
    <t>Diomedea exulans</t>
  </si>
  <si>
    <t>Wandering albatross</t>
  </si>
  <si>
    <t>Albatros hurleur</t>
  </si>
  <si>
    <t>Albatros errante</t>
  </si>
  <si>
    <t>DKN</t>
  </si>
  <si>
    <t>Phoebastria nigripes</t>
  </si>
  <si>
    <t>Black-footed albatross</t>
  </si>
  <si>
    <t>Albatros à pieds noirs</t>
  </si>
  <si>
    <t>Albatros de patas negras</t>
  </si>
  <si>
    <t>FUG</t>
  </si>
  <si>
    <t>Fulmarus glacialoides</t>
  </si>
  <si>
    <t>Southern fulmar</t>
  </si>
  <si>
    <t>Fulmar Argenté</t>
  </si>
  <si>
    <t>Fulmar austral</t>
  </si>
  <si>
    <t>MAH</t>
  </si>
  <si>
    <t>Macronectes halli</t>
  </si>
  <si>
    <t>Hall's giant petrel</t>
  </si>
  <si>
    <t>Pétrel De Hall</t>
  </si>
  <si>
    <t>Petrel gigante de Hall</t>
  </si>
  <si>
    <t>MAI</t>
  </si>
  <si>
    <t>Macronectes giganteus</t>
  </si>
  <si>
    <t>Antarctic giant petrel</t>
  </si>
  <si>
    <t>Pétrel géant</t>
  </si>
  <si>
    <t>Petrel gigante común</t>
  </si>
  <si>
    <t>PCI</t>
  </si>
  <si>
    <t>Procellaria cinerea</t>
  </si>
  <si>
    <t>Grey petrel</t>
  </si>
  <si>
    <t>Puffin Gris</t>
  </si>
  <si>
    <t>Pardela Gris</t>
  </si>
  <si>
    <t>PCN</t>
  </si>
  <si>
    <t>Procellaria conspicillata</t>
  </si>
  <si>
    <t>Spectacled petrel</t>
  </si>
  <si>
    <t>Pétrel à lunettes</t>
  </si>
  <si>
    <t>Petrel mentón blanco</t>
  </si>
  <si>
    <t>PDM</t>
  </si>
  <si>
    <t>Pterodroma macroptera</t>
  </si>
  <si>
    <t>Great-winged petrel</t>
  </si>
  <si>
    <t>Pétrel Noir</t>
  </si>
  <si>
    <t>Petrel aligrande</t>
  </si>
  <si>
    <t>PFC</t>
  </si>
  <si>
    <t>Flesh-footed shearwater</t>
  </si>
  <si>
    <t>Puffin à pieds pâles</t>
  </si>
  <si>
    <t>Pardela paticlara</t>
  </si>
  <si>
    <t>PFG</t>
  </si>
  <si>
    <t>Sooty shearwater</t>
  </si>
  <si>
    <t>Puffin fuligineux</t>
  </si>
  <si>
    <t>Pardela sombría</t>
  </si>
  <si>
    <t>PHE</t>
  </si>
  <si>
    <t>Phoebetria palpebrata</t>
  </si>
  <si>
    <t>Light-mantled sooty albatross</t>
  </si>
  <si>
    <t>Albatros fuligineux</t>
  </si>
  <si>
    <t>Albatros oscuro de manto claro</t>
  </si>
  <si>
    <t>PHU</t>
  </si>
  <si>
    <t>Phoebetria fusca</t>
  </si>
  <si>
    <t>Sooty albatross</t>
  </si>
  <si>
    <t>Albatros Brun</t>
  </si>
  <si>
    <t>Albatros Ahumado</t>
  </si>
  <si>
    <t>PRO</t>
  </si>
  <si>
    <t>Procellaria aequinoctialis</t>
  </si>
  <si>
    <t>White-chinned petrel</t>
  </si>
  <si>
    <t>Puffin à menton blanc</t>
  </si>
  <si>
    <t>Pardela Gorgiblanca</t>
  </si>
  <si>
    <t>PUG</t>
  </si>
  <si>
    <t>Great shearwater</t>
  </si>
  <si>
    <t>Puffin majeur</t>
  </si>
  <si>
    <t>Pardela capirotada</t>
  </si>
  <si>
    <t>TQH</t>
  </si>
  <si>
    <t>Thalassarche carteri</t>
  </si>
  <si>
    <t>Indian yellow-nosed albatross</t>
  </si>
  <si>
    <t>Albatros de l'océan indien</t>
  </si>
  <si>
    <t>Albatros índico pico amarillo</t>
  </si>
  <si>
    <t>TWD</t>
  </si>
  <si>
    <t>Thalassarche steadi</t>
  </si>
  <si>
    <t>White-capped albatross</t>
  </si>
  <si>
    <t>Albatros à cape blanche</t>
  </si>
  <si>
    <t>Albatros de Auckland</t>
  </si>
  <si>
    <t>ALZ</t>
  </si>
  <si>
    <t>Diomedeidae</t>
  </si>
  <si>
    <t>DKK</t>
  </si>
  <si>
    <t>Dermochelys coriacea</t>
  </si>
  <si>
    <t>Leatherback turtle</t>
  </si>
  <si>
    <t>Tortue Luth</t>
  </si>
  <si>
    <t>Tortuga Laud</t>
  </si>
  <si>
    <t>LKV</t>
  </si>
  <si>
    <t>Lepidochelys olivacea</t>
  </si>
  <si>
    <t>Olive Ridley turtle</t>
  </si>
  <si>
    <t>Tortue olivatre</t>
  </si>
  <si>
    <t>Tortuga golfina</t>
  </si>
  <si>
    <t>LKY</t>
  </si>
  <si>
    <t>Lepidochelys kempii</t>
  </si>
  <si>
    <t>Kemp's ridley turtle</t>
  </si>
  <si>
    <t>Tortue de Kemp</t>
  </si>
  <si>
    <t>Tortuga lora</t>
  </si>
  <si>
    <t>TTH</t>
  </si>
  <si>
    <t>Eretmochelys imbricata</t>
  </si>
  <si>
    <t>Hawksbill turtle</t>
  </si>
  <si>
    <t>Tortue caret</t>
  </si>
  <si>
    <t>Tortuga carey</t>
  </si>
  <si>
    <t>TTL</t>
  </si>
  <si>
    <t>Caretta caretta</t>
  </si>
  <si>
    <t>Loggerhead turtle</t>
  </si>
  <si>
    <t>Caouane</t>
  </si>
  <si>
    <t>Caguama</t>
  </si>
  <si>
    <t>TUG</t>
  </si>
  <si>
    <t>Chelonia mydas</t>
  </si>
  <si>
    <t>Green turtle</t>
  </si>
  <si>
    <t>Tortue verte</t>
  </si>
  <si>
    <t>Tortuga verde</t>
  </si>
  <si>
    <t>TTX</t>
  </si>
  <si>
    <t>Côte d'Ivoire</t>
  </si>
  <si>
    <t>TRAWB</t>
  </si>
  <si>
    <t>TRAWP</t>
  </si>
  <si>
    <t>TRAWPP</t>
  </si>
  <si>
    <t>HARPE</t>
  </si>
  <si>
    <t>Harpoon: Electric harpoon (old HP-E)</t>
  </si>
  <si>
    <t>BF66</t>
  </si>
  <si>
    <t>BF50</t>
  </si>
  <si>
    <t>BF52</t>
  </si>
  <si>
    <t>BF56</t>
  </si>
  <si>
    <t>BF64</t>
  </si>
  <si>
    <t>BF67</t>
  </si>
  <si>
    <t>BF68</t>
  </si>
  <si>
    <t>BE01</t>
  </si>
  <si>
    <t>BE02</t>
  </si>
  <si>
    <t>BE03</t>
  </si>
  <si>
    <t>BE04</t>
  </si>
  <si>
    <t>BE05</t>
  </si>
  <si>
    <t>BE06</t>
  </si>
  <si>
    <t>BE07</t>
  </si>
  <si>
    <t>BE08</t>
  </si>
  <si>
    <t>BE09</t>
  </si>
  <si>
    <t>BE10</t>
  </si>
  <si>
    <t>BE20</t>
  </si>
  <si>
    <t>BE30</t>
  </si>
  <si>
    <t>BE40</t>
  </si>
  <si>
    <t>SJ01</t>
  </si>
  <si>
    <t>SJ02</t>
  </si>
  <si>
    <t>SJ03</t>
  </si>
  <si>
    <t>SJ04</t>
  </si>
  <si>
    <t>SJ05</t>
  </si>
  <si>
    <t>SJ06</t>
  </si>
  <si>
    <t>SJ20</t>
  </si>
  <si>
    <t>SJ08</t>
  </si>
  <si>
    <t>SJ09</t>
  </si>
  <si>
    <t>SJ07</t>
  </si>
  <si>
    <t>SJ30</t>
  </si>
  <si>
    <t>SJ40</t>
  </si>
  <si>
    <t>YF01</t>
  </si>
  <si>
    <t>YF02</t>
  </si>
  <si>
    <t>YF03</t>
  </si>
  <si>
    <t>YF04</t>
  </si>
  <si>
    <t>YF05</t>
  </si>
  <si>
    <t>YF06</t>
  </si>
  <si>
    <t>YF07</t>
  </si>
  <si>
    <t>YF20</t>
  </si>
  <si>
    <t>YF08</t>
  </si>
  <si>
    <t>YF09</t>
  </si>
  <si>
    <t>YF10</t>
  </si>
  <si>
    <t>YF11</t>
  </si>
  <si>
    <t>YF12</t>
  </si>
  <si>
    <t>YF13</t>
  </si>
  <si>
    <t>YF30</t>
  </si>
  <si>
    <t>YF40</t>
  </si>
  <si>
    <t>BUM-A</t>
  </si>
  <si>
    <t>WHM-A</t>
  </si>
  <si>
    <t>Rest of ICCAT species</t>
  </si>
  <si>
    <t>Table. Species (Tunas &amp; sharks) standard codes (FAO alfa 3)</t>
  </si>
  <si>
    <t>Longline: Surface</t>
  </si>
  <si>
    <t>Longline: Japanese type (Spain)</t>
  </si>
  <si>
    <t>Longline: With mother boat</t>
  </si>
  <si>
    <t>Longline: "Stone-ball" (Spain)</t>
  </si>
  <si>
    <t>Purse seine: Double-boats</t>
  </si>
  <si>
    <t>Purse seine: Catching large fish</t>
  </si>
  <si>
    <t>Purse seine: Catching small fish</t>
  </si>
  <si>
    <t>Purse seine: Large scale (over 200 MT capacity)</t>
  </si>
  <si>
    <t>Purse seine: Using live bait</t>
  </si>
  <si>
    <t>Purse seine: Medium scale (between 50 and 200 MT capacity)</t>
  </si>
  <si>
    <t>Purse seine: Small scale (less than 50 MT capacity)</t>
  </si>
  <si>
    <t>Trap: trap non-fixed</t>
  </si>
  <si>
    <t>Baitboat: Targgetting ALB</t>
  </si>
  <si>
    <t>Baitboat: Freezer</t>
  </si>
  <si>
    <t>Baitboat: Ice-well</t>
  </si>
  <si>
    <t>Trawl: Bottom paired (old TRBD)</t>
  </si>
  <si>
    <t>Trawl: Mid-water pelagic (old MWT)</t>
  </si>
  <si>
    <t>Trawl: Mid-water pelagic paired (old MWTD)</t>
  </si>
  <si>
    <t>Gillnet: Drift net</t>
  </si>
  <si>
    <t>Gillnet: Targetting ALB</t>
  </si>
  <si>
    <t>Gillnet: Targetting SWO</t>
  </si>
  <si>
    <t>Unclassified gears (unknown, not reported, OTH not specified)</t>
  </si>
  <si>
    <t>SFL</t>
  </si>
  <si>
    <t>Table. Reporting Flags, Flags of Vessel / Countries (A2 &amp; A3 ISO 3166)</t>
  </si>
  <si>
    <t>Recreational (or Sport)</t>
  </si>
  <si>
    <t>Mainland, Azores, Madeira, Recreational (or Sport)</t>
  </si>
  <si>
    <t>Other (specified in Notes)</t>
  </si>
  <si>
    <t>Other (specifed it in notes)</t>
  </si>
  <si>
    <t>Other (specified it in notes)</t>
  </si>
  <si>
    <t>Andorra</t>
  </si>
  <si>
    <t>AND</t>
  </si>
  <si>
    <t>AD</t>
  </si>
  <si>
    <t>Australia</t>
  </si>
  <si>
    <t>AUS</t>
  </si>
  <si>
    <t>AU</t>
  </si>
  <si>
    <t>Brunei</t>
  </si>
  <si>
    <t>BND</t>
  </si>
  <si>
    <t>BN</t>
  </si>
  <si>
    <t>Cook Islands</t>
  </si>
  <si>
    <t>COK</t>
  </si>
  <si>
    <t>CK</t>
  </si>
  <si>
    <t>Fiji Islands</t>
  </si>
  <si>
    <t>FJI</t>
  </si>
  <si>
    <t>FJ</t>
  </si>
  <si>
    <t>Guam</t>
  </si>
  <si>
    <t>GUM</t>
  </si>
  <si>
    <t>GU</t>
  </si>
  <si>
    <t>Haiti</t>
  </si>
  <si>
    <t>HTI</t>
  </si>
  <si>
    <t>HT</t>
  </si>
  <si>
    <t>Indonesia</t>
  </si>
  <si>
    <t>IDN</t>
  </si>
  <si>
    <t>ID</t>
  </si>
  <si>
    <t>Kenya</t>
  </si>
  <si>
    <t>KEN</t>
  </si>
  <si>
    <t>KE</t>
  </si>
  <si>
    <t>Kiribati</t>
  </si>
  <si>
    <t>KIR</t>
  </si>
  <si>
    <t>KI</t>
  </si>
  <si>
    <t>Kuwait</t>
  </si>
  <si>
    <t>KWT</t>
  </si>
  <si>
    <t>KW</t>
  </si>
  <si>
    <t>Madagascar</t>
  </si>
  <si>
    <t>MDG</t>
  </si>
  <si>
    <t>MG</t>
  </si>
  <si>
    <t>Maldives</t>
  </si>
  <si>
    <t>MDV</t>
  </si>
  <si>
    <t>MV</t>
  </si>
  <si>
    <t>Marshall Islands</t>
  </si>
  <si>
    <t>MHL</t>
  </si>
  <si>
    <t>MH</t>
  </si>
  <si>
    <t>Micronesia</t>
  </si>
  <si>
    <t>FSM</t>
  </si>
  <si>
    <t>FM</t>
  </si>
  <si>
    <t>Mozambique</t>
  </si>
  <si>
    <t>MOZ</t>
  </si>
  <si>
    <t>MZ</t>
  </si>
  <si>
    <t>New Caledonia</t>
  </si>
  <si>
    <t>NCL</t>
  </si>
  <si>
    <t>NC</t>
  </si>
  <si>
    <t>New Zealand</t>
  </si>
  <si>
    <t>NZL</t>
  </si>
  <si>
    <t>NZ</t>
  </si>
  <si>
    <t>Oman</t>
  </si>
  <si>
    <t>OMN</t>
  </si>
  <si>
    <t>OM</t>
  </si>
  <si>
    <t>Palau</t>
  </si>
  <si>
    <t>PLW</t>
  </si>
  <si>
    <t>PW</t>
  </si>
  <si>
    <t>Papua New Guinea</t>
  </si>
  <si>
    <t>PNG</t>
  </si>
  <si>
    <t>PG</t>
  </si>
  <si>
    <t>Perú</t>
  </si>
  <si>
    <t>PER</t>
  </si>
  <si>
    <t>PE</t>
  </si>
  <si>
    <t>Polynesie Française</t>
  </si>
  <si>
    <t>PYF</t>
  </si>
  <si>
    <t>PF</t>
  </si>
  <si>
    <t>Samoa</t>
  </si>
  <si>
    <t>WSM</t>
  </si>
  <si>
    <t>WS</t>
  </si>
  <si>
    <t>Saudi Arabia</t>
  </si>
  <si>
    <t>SA</t>
  </si>
  <si>
    <t>Solomon Islands</t>
  </si>
  <si>
    <t>SLB</t>
  </si>
  <si>
    <t>SB</t>
  </si>
  <si>
    <t>Sri Lanka</t>
  </si>
  <si>
    <t>LKA</t>
  </si>
  <si>
    <t>LK</t>
  </si>
  <si>
    <t>Tanzania</t>
  </si>
  <si>
    <t>TZA</t>
  </si>
  <si>
    <t>TZ</t>
  </si>
  <si>
    <t>Tonga</t>
  </si>
  <si>
    <t>TON</t>
  </si>
  <si>
    <t>TO</t>
  </si>
  <si>
    <t>Tuvalu</t>
  </si>
  <si>
    <t>TUV</t>
  </si>
  <si>
    <t>TV</t>
  </si>
  <si>
    <t>United Arab Emirates</t>
  </si>
  <si>
    <t>ARE</t>
  </si>
  <si>
    <t>AE</t>
  </si>
  <si>
    <t>Vietnam</t>
  </si>
  <si>
    <t>VNM</t>
  </si>
  <si>
    <t>VN</t>
  </si>
  <si>
    <t>CYW</t>
  </si>
  <si>
    <t>Roughskin dogfish</t>
  </si>
  <si>
    <t>Pailona rapeux</t>
  </si>
  <si>
    <t>Sapata lija</t>
  </si>
  <si>
    <t>ETU</t>
  </si>
  <si>
    <t>Lined lanternshark</t>
  </si>
  <si>
    <t>Sagre chien</t>
  </si>
  <si>
    <t>Tollo lucero rayado</t>
  </si>
  <si>
    <t>EUP</t>
  </si>
  <si>
    <t>Squale pygmée</t>
  </si>
  <si>
    <t>Tollo pigmeo</t>
  </si>
  <si>
    <t>EUZ</t>
  </si>
  <si>
    <t>Squale à queue claire</t>
  </si>
  <si>
    <t>Tollo rabo claro</t>
  </si>
  <si>
    <t>ISP</t>
  </si>
  <si>
    <t>Squalelet dentu</t>
  </si>
  <si>
    <t>Tollo cigarro dentón</t>
  </si>
  <si>
    <t>LMO</t>
  </si>
  <si>
    <t>Requin lutin</t>
  </si>
  <si>
    <t>Tiburón duende</t>
  </si>
  <si>
    <t>RMA</t>
  </si>
  <si>
    <t>SDH</t>
  </si>
  <si>
    <t>Deania histricosa</t>
  </si>
  <si>
    <t>Rough longnose dogfish</t>
  </si>
  <si>
    <t>Squale-savate rude</t>
  </si>
  <si>
    <t>Tollo raspa</t>
  </si>
  <si>
    <t>SDU</t>
  </si>
  <si>
    <t>Arrowhead dogfish</t>
  </si>
  <si>
    <t>Squale-savate lutin</t>
  </si>
  <si>
    <t>Tollo flecha</t>
  </si>
  <si>
    <t>Catch type name</t>
  </si>
  <si>
    <t>Month</t>
  </si>
  <si>
    <t>YearC</t>
  </si>
  <si>
    <t>Mois</t>
  </si>
  <si>
    <t>Year (calendar)</t>
  </si>
  <si>
    <t>SquareType</t>
  </si>
  <si>
    <t>LatLon</t>
  </si>
  <si>
    <t>SquareTypeCod</t>
  </si>
  <si>
    <t>Rectangle: 10° latitude by 10° longitude</t>
  </si>
  <si>
    <t>MonthSamp</t>
  </si>
  <si>
    <t>Month (sample)</t>
  </si>
  <si>
    <t>Mois (échantillon)</t>
  </si>
  <si>
    <t>The month in which the sample was measured</t>
  </si>
  <si>
    <t>Mes (muestreo)</t>
  </si>
  <si>
    <t>Mes</t>
  </si>
  <si>
    <t>Mes en el que se midió la muestra</t>
  </si>
  <si>
    <t>SampAreaCod</t>
  </si>
  <si>
    <t>StockCod</t>
  </si>
  <si>
    <t>QuadCod</t>
  </si>
  <si>
    <t>LangFieldID</t>
  </si>
  <si>
    <t>LangNameID</t>
  </si>
  <si>
    <t>NR</t>
  </si>
  <si>
    <t>Number (of fish)</t>
  </si>
  <si>
    <t>Gilled &amp; gutted weight</t>
  </si>
  <si>
    <t xml:space="preserve">Fillet (weight) </t>
  </si>
  <si>
    <t>Belly meat (weigth)</t>
  </si>
  <si>
    <t>{1x1,5x5,5x10,10x10, SA}</t>
  </si>
  <si>
    <t>Burkina Faso</t>
  </si>
  <si>
    <t>BFA</t>
  </si>
  <si>
    <t>BF</t>
  </si>
  <si>
    <t>Years covered (from)</t>
  </si>
  <si>
    <t>Années visées (de)</t>
  </si>
  <si>
    <t>Años incluidos (desde)</t>
  </si>
  <si>
    <t>(to)</t>
  </si>
  <si>
    <t>(à)</t>
  </si>
  <si>
    <t>(hasta)</t>
  </si>
  <si>
    <t>hYearFrom</t>
  </si>
  <si>
    <t>hYearTo</t>
  </si>
  <si>
    <t>TotCatchW</t>
  </si>
  <si>
    <t>Specific</t>
  </si>
  <si>
    <t>Proper time resolution (month is mandatory starting with 2017 data)</t>
  </si>
  <si>
    <t>string</t>
  </si>
  <si>
    <t>ENG</t>
  </si>
  <si>
    <t>tba</t>
  </si>
  <si>
    <t>AUT</t>
  </si>
  <si>
    <t>Djibouti</t>
  </si>
  <si>
    <t>DJI</t>
  </si>
  <si>
    <t>DJ</t>
  </si>
  <si>
    <t>2-Tuna (small t.)</t>
  </si>
  <si>
    <t>3-Tuna (other sp.)</t>
  </si>
  <si>
    <t>4-Sharks (major sp.)</t>
  </si>
  <si>
    <t>5-Sharks (other sp.)</t>
  </si>
  <si>
    <t>SKH</t>
  </si>
  <si>
    <t>6-Teleosts</t>
  </si>
  <si>
    <t>7-Turtles</t>
  </si>
  <si>
    <t>8-Seabirds</t>
  </si>
  <si>
    <t>9-Mammals</t>
  </si>
  <si>
    <t>Unknown (for sampling areas only)</t>
  </si>
  <si>
    <t>ContentDescript</t>
  </si>
  <si>
    <t>New (FULL)</t>
  </si>
  <si>
    <t>New data (never reported to ICCAT): FULL coverage</t>
  </si>
  <si>
    <t>New (PARTIAL)</t>
  </si>
  <si>
    <t>New data (never reported to ICCAT): PARTIAL coverage</t>
  </si>
  <si>
    <t>Revised data (FULL): to fully replace the previously reported data</t>
  </si>
  <si>
    <t>Revised data (PARTIAL): to partially replace the previously reported data</t>
  </si>
  <si>
    <t>FA</t>
  </si>
  <si>
    <t>Catches (alive) to farming (BFT only)</t>
  </si>
  <si>
    <t>Longline: Targetting ALB</t>
  </si>
  <si>
    <t>Longline: Targetting BFT</t>
  </si>
  <si>
    <t>Longline: Targetting SWO</t>
  </si>
  <si>
    <t>Trap: small traps</t>
  </si>
  <si>
    <t>Each size class frequency should be a multiple of the interval defined in header section (e.g.: 2 cm classes =&gt; 20, 22, 24, 26, …). Classes frequencies with "zero" fish are optional.</t>
  </si>
  <si>
    <t>FreqType</t>
  </si>
  <si>
    <t>HGTW</t>
  </si>
  <si>
    <t>Lower Jaw TO 1st Dorsal Length</t>
  </si>
  <si>
    <r>
      <t xml:space="preserve">Table. </t>
    </r>
    <r>
      <rPr>
        <sz val="9"/>
        <rFont val="Calibri"/>
        <family val="2"/>
        <scheme val="minor"/>
      </rPr>
      <t>Size/weight frequency types</t>
    </r>
  </si>
  <si>
    <t>Frequency type attributes</t>
  </si>
  <si>
    <t>Attributs de type de fréquence</t>
  </si>
  <si>
    <t>Atributos de tipo de frecuencia</t>
  </si>
  <si>
    <t>hFreqType</t>
  </si>
  <si>
    <t>FormID</t>
  </si>
  <si>
    <t>OrderID</t>
  </si>
  <si>
    <t>SubFormID</t>
  </si>
  <si>
    <t>ST04</t>
  </si>
  <si>
    <t>Titles</t>
  </si>
  <si>
    <t>tVersion</t>
  </si>
  <si>
    <t>Always use the lastest version of this form</t>
  </si>
  <si>
    <t>Utiliser toujours la dernière version de ce formulaire</t>
  </si>
  <si>
    <t>Utilice siempre la última versión de este formulario</t>
  </si>
  <si>
    <t>tLang</t>
  </si>
  <si>
    <t>Choose the language (ENG, FRA, ESP) for form translation</t>
  </si>
  <si>
    <t>Choisir la langue (ENG, FRA, ESP) pour la traduction du formulaire</t>
  </si>
  <si>
    <t>Elija el idioma (ENG, FRA, ESP) para la traducción del formulario</t>
  </si>
  <si>
    <t>Caractéristiques jeu de données</t>
  </si>
  <si>
    <t>Características conjunto de datos</t>
  </si>
  <si>
    <t>Name (full OR Name &amp; Surname) of the Statistical Correspondent (officially nominated by the CPC)</t>
  </si>
  <si>
    <t>Nom (complet OU Prénom et Nom) du correspondant statistique (officiellement désigné par la CPC)</t>
  </si>
  <si>
    <t>Nombre (completo o nombre y apellido) del Corresponsal estadístico designado oficialmente por la CPC</t>
  </si>
  <si>
    <t>Email address of the Statistical Correspondent</t>
  </si>
  <si>
    <t>Adresse email du correspondant statistique</t>
  </si>
  <si>
    <t>Dirección de correo electrónico del corresponsal estadístico</t>
  </si>
  <si>
    <t>Telephone number of the Statistical Correspondent</t>
  </si>
  <si>
    <t>Numéro de téléphone du correspondant statistique</t>
  </si>
  <si>
    <t>Número de teléfono del corresponsal estadístico</t>
  </si>
  <si>
    <t>Institute (ministry, agency, research Institute, etc.) to which the Statistical Correspondent is affiliated</t>
  </si>
  <si>
    <t>Institution (ministère, agence, institut de recherche, etc.) à laquelle le correspondant statistique est affilié</t>
  </si>
  <si>
    <t>Institución (Ministerio, Agencia, instituto de investigación, etc.) al que pertenece el corresponsal estadístico</t>
  </si>
  <si>
    <t>Department within the Institution, where applicable</t>
  </si>
  <si>
    <t>Département au sein de l'institution, le cas échéant</t>
  </si>
  <si>
    <t>Departamento dentro de la institución, si procede</t>
  </si>
  <si>
    <t>Postal address of the institution (street, number, city, state)</t>
  </si>
  <si>
    <t>Adresse postale de l'institution (rue, numéro, ville, État)</t>
  </si>
  <si>
    <t>Dirección postal de la institución (calle, número, ciudad, estado)</t>
  </si>
  <si>
    <t>Country in which the Institution is based</t>
  </si>
  <si>
    <t>Pays dans lequel l'institution est basée</t>
  </si>
  <si>
    <t>País en el que tiene su sede la institución</t>
  </si>
  <si>
    <t>Choose the Flag CPC reporting the data (ICCAT codes)</t>
  </si>
  <si>
    <t>Choisir la CPC de pavillon qui déclare les données (code ICCAT)</t>
  </si>
  <si>
    <t>Escoger la CPC del pabellón que comunica los datos (códigos ICCAT)</t>
  </si>
  <si>
    <t>One or more years can be added to the form. Add the first (from) year (4 digits) to which the data relate</t>
  </si>
  <si>
    <t>Une ou plusieurs années peuvent être ajoutées au formulaire. Ajouter la première année (de) (4 chiffres) à laquelle les données correspondent</t>
  </si>
  <si>
    <t>Pueden añadirse uno o más años al formulario. Añadir el primer año (desde, cuatro dígitos) al que conciernen los datos</t>
  </si>
  <si>
    <t>One or more years can be added to the form. Add the last (to) year (4 digits) to which the data relate</t>
  </si>
  <si>
    <t>Une ou plusieurs années peuvent être ajoutées au formulaire. Ajouter la dernière année (jusqu'à) (4 chiffres) à laquelle les données correspondent</t>
  </si>
  <si>
    <t>Pueden añadirse uno o más años al formulario. Añadir el último año (hasta, cuatro dígitos) al que conciernen los datos</t>
  </si>
  <si>
    <t>BFT only (fixed)</t>
  </si>
  <si>
    <t>BFT seulement (fixe)</t>
  </si>
  <si>
    <t>BFT sólo (fijo)</t>
  </si>
  <si>
    <t>Specify if this submission is Preliminary (subject to revision) or Final (already validated)</t>
  </si>
  <si>
    <t>Préciser si cette soumission est préliminaire (sujette à révision) ou finale (déjà validée)</t>
  </si>
  <si>
    <t>Especificar si la presentación es preliminar (sujeta a revisión) o final (ya validada)</t>
  </si>
  <si>
    <t>Specify if the overall data content is NEW (full set OR partial set) OR a REVISION (full set OR partial set)</t>
  </si>
  <si>
    <t>Préciser si le contenu global de données est NOUVEAU (ensemble complète OU ensemble partiel) OU une RÉVISION (ensemble complète OU ensemble partiel)</t>
  </si>
  <si>
    <t>Especificar si el contenido general de los datos es NUEVO (conjunto completo O conjunto parcial) O una REVISIÓN (conjunto completo O conjunto parcial)</t>
  </si>
  <si>
    <t>Indicate whether catch data associated to the sample is in weight (kg) or in number of fish</t>
  </si>
  <si>
    <t>Indiquer si les données de capture associées à l'échantillon sont en poids (kg) ou en nombre de poissons</t>
  </si>
  <si>
    <t>Indicar si los datos de captura asociados con la muestra están en peso (kg) o en número de ejemplares</t>
  </si>
  <si>
    <t>Choose type of product (round weight, dressed weight, etc.) of the catch reported (ICCAT code)</t>
  </si>
  <si>
    <t>Choisir le type de produit (poids vif, poids manipulé, etc.) de la capture déclarée (code ICCAT)</t>
  </si>
  <si>
    <t>Escoger el tipo de producto (peso vivo, peso canal, etc.) de la captura comunicada (código ICCAT)</t>
  </si>
  <si>
    <t>Choose a Location at which the samples were measured (If "other" please specify in notes)</t>
  </si>
  <si>
    <t>Choisir un lieu où les échantillons ont été mesurés (Si "autre", veuillez le préciser dans les notes)</t>
  </si>
  <si>
    <t>Escoger la localización en la que se midieron las muestras (si "otros" por favor específiquese en las notas)</t>
  </si>
  <si>
    <t>Choose a sampling unit (ICCAT codes) in which the data are provided</t>
  </si>
  <si>
    <t>Choisir l'unité d'échantillonnage (codes ICCAT) dans laquelle les données ont été fournies</t>
  </si>
  <si>
    <t>Escoger la unidad de muestreo (códigos ICCAT) en la que se presentan los datos</t>
  </si>
  <si>
    <t>Please choose YES if the size samples have been raised to the Sampling Unit (SU). Otherwise choose NO</t>
  </si>
  <si>
    <t>Choisir "YES" si les échantillons de taille ont été extrapolés à l’unité de l’échantillon (SU). Dans le cas contraire, choisir "NO"</t>
  </si>
  <si>
    <t>Escoger YES si las muestras de talla han sido extrapoladas a la unidad de muestreo (SU). En caso contrario escoger NO</t>
  </si>
  <si>
    <t>Frequency type (cod)</t>
  </si>
  <si>
    <t>Type de fréquence (cod)</t>
  </si>
  <si>
    <t>Tipo de frecuencia (cód)</t>
  </si>
  <si>
    <t>Frequencies of the sampling can be of type "size" (1/2/5 cm) OR "weight" (1kg only). Length classes are preferred</t>
  </si>
  <si>
    <t>Les fréquences d'échantillonnage peuvent être de type "taille" (1/2/5 cm) OU "poids" (1 kg seulement). Il est préférable d'utiliser les classes de tailles</t>
  </si>
  <si>
    <t>Las frecuencias del muestreo pueden ser del tipo "talla" (1/2/5 cm) O "peso" (solo 1 kg). Es preferible utilizar clases de talla</t>
  </si>
  <si>
    <t>Choose the Interval of the size frequencies (1cm; 2cm, 5 cm; 1kg)</t>
  </si>
  <si>
    <t>Choisir l'intervalle des fréquences de taille (1cm; 2cm; 5cm; 1kg)</t>
  </si>
  <si>
    <t>Escoger el intervalo de frecuencias de talla (1 cm, 2 cm, 5 cm, 1 kg)</t>
  </si>
  <si>
    <t>Identify the class boundary intervals (lower limit, central point, upper limit)</t>
  </si>
  <si>
    <t>Identifier les intervalles des limites de classe (limite inférieure, point central, limite supérieure)</t>
  </si>
  <si>
    <t>Identificar los intervalos de límite de clase (límite inferior, punto central, límite superior)</t>
  </si>
  <si>
    <t>Envoyer le formulaire à l'ICCAT avec le nom du fichier proposé (si nécessaire, ajouter un suffixe d'ID à la fin)</t>
  </si>
  <si>
    <t>Add additional (complementary) notes in respect to the overall dataset (if needed)</t>
  </si>
  <si>
    <t>Ajouter des notes additionnelles (complémentaires) en ce qui concerne le jeu de données global (si nécessaire)</t>
  </si>
  <si>
    <t>Añadir notas adicionales (complementarias) para el conjunto de datos global (si se requieren)</t>
  </si>
  <si>
    <t>Choose the flag of the vessel for which the data apply (whether national or foreign flagged vessel)</t>
  </si>
  <si>
    <t>Choisir le pavillon du navire auquel les données s'appliquent (navire sous pavillon national ou étranger)</t>
  </si>
  <si>
    <t>Escoger el pabellón del buque al que se refieren los datos (ya sea un buque nacional o con pabelllón extranjero)</t>
  </si>
  <si>
    <t>Année (calendrier)</t>
  </si>
  <si>
    <t>Calendar year (four digits) in which the catch was taken</t>
  </si>
  <si>
    <t>Année civile (quatre chiffres) au cours de laquelle la prise a été réalisée</t>
  </si>
  <si>
    <t>Año civil (cuatro dígitos) en que se realizó la captura</t>
  </si>
  <si>
    <t>Catch and effort should be reported by month (January= 1; December= 12)</t>
  </si>
  <si>
    <t>La prise et l'effort devraient être déclarées par mois (janvier=1 ; décembre = 12)</t>
  </si>
  <si>
    <t>La captura y esfuerzo debe comunicarse por mes (enero=1; diciembre=12)</t>
  </si>
  <si>
    <t>Choose the Gear code (ICCAT codes)</t>
  </si>
  <si>
    <t>Choisir le code d'engin (code ICCAT)</t>
  </si>
  <si>
    <t>Specify if associated samples are from catch landings or discards, and if discards whether there are live or dead discards</t>
  </si>
  <si>
    <t>Spécifier si les échantillons associés sont issus des débarquements ou des rejets. S’il s’agit de rejets, indiquer s’ils sont morts ou vivants</t>
  </si>
  <si>
    <t>For each species, enter the school type (FAD or Free School) if the gear is "purse seine". Not applicable (n/a or "blank") by default</t>
  </si>
  <si>
    <t>Pour chaque espèce, saisir le type de banc (DCP ou banc libre) s'il s'agit de l'engin de senne. Non applicable (n/a ou case vide) par défaut</t>
  </si>
  <si>
    <t>Para cada especie introducir el tipo de banco (DCP o banco libre) si el arte es "cerco". No aplicable (n/a o celda en blanco) por defecto</t>
  </si>
  <si>
    <t>Choose the Sampling Area code of the species (within each stock)</t>
  </si>
  <si>
    <t>Choisir le code de la zone d'échantillonnage de l'espèce (dans chaque stock)</t>
  </si>
  <si>
    <t>Escoger el código del área de muestreo de la especie (dentro de cada stock)</t>
  </si>
  <si>
    <t>Choose the square type (ICCAT code). By default, 5x5 squares should be used for Longline and 1x1 for other gears</t>
  </si>
  <si>
    <t>Choisir le type de carré (code ICCAT). Par défaut, les carrés 5x5 devraient être utilisés pour la palangre et 1x1 pour les autres engins</t>
  </si>
  <si>
    <t>Escoger el tipo de cuadrícula (código de ICCAT). Por defecto, las cuadrículas de 5x5 deberían utilizarse para el palangre y las de 1x1 para los demás artes</t>
  </si>
  <si>
    <t>Choose the quadrant (ICCAT codes: NE(1); SE(2); SW(3); NW(4))</t>
  </si>
  <si>
    <t>Choisir le quadrant (codes ICCAT: NE(1) ; SE(2) ; SW(3) ; NW(4))</t>
  </si>
  <si>
    <t>Escoger el cuadrante (códigos ICCAT: NE(1); SE(2); SW(3); NW:(4))</t>
  </si>
  <si>
    <t>Latitude of the corner of the square closest to 0º (multiples of the Square Type code)</t>
  </si>
  <si>
    <t>Latitude du coin du carré le plus proche de 0º (multiples du code type de carré)</t>
  </si>
  <si>
    <t>Latitud de la esquina de la cuadrícula más cercana a 0º (múltiplos del código de tipo de cuadrícula)</t>
  </si>
  <si>
    <t>Longitude of the corner of the square closest to 0º (multiples of the Square Type code)</t>
  </si>
  <si>
    <t>Longitude du coin du carré le plus proche de 0º (multiples du code type de carré)</t>
  </si>
  <si>
    <t>Longitud de la esquina de la cuadrícula más cercana a cero (múltiplos del código de tipo de cuadrícula)</t>
  </si>
  <si>
    <t>Choose the source from which the data were compiled (ICCAT codes)</t>
  </si>
  <si>
    <t>Choisir la source à partir de laquelle les données ont été compilées (codes ICCAT)</t>
  </si>
  <si>
    <t>Total catch in the sampling unit from which the sample was taken</t>
  </si>
  <si>
    <t>Prise totale dans l'unité d'échantillonnage de laquelle l'échantillon a été prélevé</t>
  </si>
  <si>
    <t>Captura total en la unidad de muestreo de la que se tomó la muestra</t>
  </si>
  <si>
    <t>Enter unique numbers (ordered) for each sampling unit. They must delimit the rows belonging to each sample in a given stratum. It is optional and can be left "blank"</t>
  </si>
  <si>
    <t>Saisir les numéros uniques (classés) pour chaque unité d'échantillonnage. Ils doivent délimiter les rangées appartenant à chaque échantillon dans une strate donnée. Facultatif, la cellule peut rester vide</t>
  </si>
  <si>
    <t>Introducir números únicos (ordenados) para cada unidad de muestreo. Deben delimitar las hileras correspondientes a cada muestra en un estrato determinado. Es opcional y puede dejarse en blanco</t>
  </si>
  <si>
    <t>Mois au cours duquel l'échantillon a été mesuré</t>
  </si>
  <si>
    <t>Total weight (kg) of the fish sampled in the sampling unit</t>
  </si>
  <si>
    <t>Poids total (kg) des poissons échantillonnés dans l'unité d'échantillonnage</t>
  </si>
  <si>
    <t>Peso total (kg) de los ejemplares muestreados en la unidad de muestreo</t>
  </si>
  <si>
    <t>Total number of fish sampled in the sampling unit</t>
  </si>
  <si>
    <t>Nombre total de poissons échantillonnés dans l'unité d'échantillonnage</t>
  </si>
  <si>
    <t>Número total de ejemplares muestreados en la unidad de muestreo</t>
  </si>
  <si>
    <t>The size class of the fish. In each sampling unit, it should start at the lowest size class and continue in multiples of the chosen Interval (header section). It is not necessary to enter size classes for which fish sampled is "zero"</t>
  </si>
  <si>
    <t>Classe de tailles du poisson. Dans chaque unité d'échantillonnage, elle doit commencer par la classe de taille la plus faible et continuer en multiples de l'intervalle choisi (section de l'en-tête). Il n'est pas nécessaire de saisir des classes de tailles pour les échantillons de poissons correspondant à "zéro"</t>
  </si>
  <si>
    <t>Clases de talla de los ejemplares. Cada unidad de muestreo debe comenzar por la clase de talla inferior y continuar en múltiplos del intervalo escogido (sección de cabecera). No es necesario consignar clases de tallas para las que los ejemplares muestrados son "cero"</t>
  </si>
  <si>
    <t>Añadir en cada clase el número de peces muestreado (sexo desconocido)</t>
  </si>
  <si>
    <t>Complete as far as possible the Header and Detail sections (don't leave fields empty when information is known)</t>
  </si>
  <si>
    <t>Remplir, dans la mesure du possible, les sections "en-tête" et "information détaillée" (ne pas laisser de champs vides lorsque l'information est connue)</t>
  </si>
  <si>
    <t>Cumplimentar con la mayor información posible las secciones "cabecera" e "información detallada" (no dejar campos vacíos cuando se conoce la información)</t>
  </si>
  <si>
    <t>In Header section, only white cells can be filled (manually or by selecting from the Combo Box the corresponding code)</t>
  </si>
  <si>
    <t>Dans la section d'en-tête, seules les cellules vides peuvent être remplies (manuellement ou en sélectionnant le code correspondant dans le menu déroulant)</t>
  </si>
  <si>
    <t>En la sección de cabecera, sólo pueden cumplimentarse las celdas en blanco (manualmente o seleccionando en la pestaña desplegable el código correspondiente)</t>
  </si>
  <si>
    <t>Always use ICCAT standard codes (when element "OTHERS" of various fields is required it must be explicitly described in "Notes")</t>
  </si>
  <si>
    <t>Toujours utiliser les codes standard ICCAT (si l'élément "AUTRES" de divers champs est requis, celui-ci doit être explicitement décrit dans la rubrique "notes")</t>
  </si>
  <si>
    <t>Utilice siempre los códigos estándar ICCAT (cuando se requiere el elemento "OTROS" de varios campos, éste debe describirse explícitamente en las "Notas")</t>
  </si>
  <si>
    <t>Recommendation for users with databases: To paste an entire dataset into the Detail section (must have the same structure and format) use "Paste special (values)"</t>
  </si>
  <si>
    <t>Recommandation aux utilisateurs de bases de données : pour copier tout un jeu de données dans la section "Information détaillée" (qui doit avoir les mêmes structure et format), utiliser "Paste special (values)"</t>
  </si>
  <si>
    <t>Laisser en blanc les champs pour lesquels vous ne recueillez pas d'informations</t>
  </si>
  <si>
    <t>Deje en blanco los campos para los que no se ha recopilado información</t>
  </si>
  <si>
    <t>Sub-form</t>
  </si>
  <si>
    <t>Sous-formulaire</t>
  </si>
  <si>
    <t>Subformulario</t>
  </si>
  <si>
    <t>Field (format)</t>
  </si>
  <si>
    <t>Champ (format)</t>
  </si>
  <si>
    <t>Campo (formato)</t>
  </si>
  <si>
    <t>Field (name)</t>
  </si>
  <si>
    <t>Champ (nom)</t>
  </si>
  <si>
    <t>Campo (nombre)</t>
  </si>
  <si>
    <t>SC08</t>
  </si>
  <si>
    <t>Statistical Correspondent</t>
  </si>
  <si>
    <t>Flota ID</t>
  </si>
  <si>
    <t>Año (calendario)</t>
  </si>
  <si>
    <t>Type de capture (cod)</t>
  </si>
  <si>
    <t>Tipo de captura (cód)</t>
  </si>
  <si>
    <t>Área muestreo (cod)</t>
  </si>
  <si>
    <t>T. Cuadrícula (cód)</t>
  </si>
  <si>
    <t>Unidad muestro ID (SU)</t>
  </si>
  <si>
    <t>hProdTypeCd</t>
  </si>
  <si>
    <t>nr</t>
  </si>
  <si>
    <t>kg</t>
  </si>
  <si>
    <t>T03</t>
  </si>
  <si>
    <t>ST04A</t>
  </si>
  <si>
    <t>id</t>
  </si>
  <si>
    <t>FlagCode</t>
  </si>
  <si>
    <t>StatusCPC</t>
  </si>
  <si>
    <t>CZ</t>
  </si>
  <si>
    <t>FIN</t>
  </si>
  <si>
    <t>FI</t>
  </si>
  <si>
    <t>LUX</t>
  </si>
  <si>
    <t>LU</t>
  </si>
  <si>
    <t>SVK</t>
  </si>
  <si>
    <t>SK</t>
  </si>
  <si>
    <t>Bosnia and Herzegovina</t>
  </si>
  <si>
    <t>BIH</t>
  </si>
  <si>
    <t>BA</t>
  </si>
  <si>
    <t>Isle of Man</t>
  </si>
  <si>
    <t>IMN</t>
  </si>
  <si>
    <t>IM</t>
  </si>
  <si>
    <t>Mongolia</t>
  </si>
  <si>
    <t>MNG</t>
  </si>
  <si>
    <t>MN</t>
  </si>
  <si>
    <t>MKD</t>
  </si>
  <si>
    <t>MK</t>
  </si>
  <si>
    <t>SpeciesCode</t>
  </si>
  <si>
    <t>Kajikia albida</t>
  </si>
  <si>
    <t>GearCode</t>
  </si>
  <si>
    <t>SampleUnitCode</t>
  </si>
  <si>
    <t>DataSourceCode</t>
  </si>
  <si>
    <t>SampLocatCode</t>
  </si>
  <si>
    <t>SchoolTypeCode</t>
  </si>
  <si>
    <t>FreqTypeCode</t>
  </si>
  <si>
    <t>ProdTypeCode</t>
  </si>
  <si>
    <t>ClassLimitCode</t>
  </si>
  <si>
    <t>CatchTypeCode</t>
  </si>
  <si>
    <t>ContentCode</t>
  </si>
  <si>
    <t>NF</t>
  </si>
  <si>
    <t>NP</t>
  </si>
  <si>
    <t>RF</t>
  </si>
  <si>
    <t>RP</t>
  </si>
  <si>
    <t xml:space="preserve"> </t>
  </si>
  <si>
    <t>Qatar</t>
  </si>
  <si>
    <t>QAT</t>
  </si>
  <si>
    <t>QA</t>
  </si>
  <si>
    <t>Exact Lat/Lon position</t>
  </si>
  <si>
    <t>ICCAT sampling area</t>
  </si>
  <si>
    <t>TASK 2 - SIZE SAMPLING (tunas and sharks)</t>
  </si>
  <si>
    <t>TÂCHE 2 - ÉCHANTILLONNAGE DE TAILLE (thonidés et requins)</t>
  </si>
  <si>
    <t>TAREA 2 - MUESTREO DE TALLAS (túnidos y tiburones)</t>
  </si>
  <si>
    <t>EU-Austria</t>
  </si>
  <si>
    <t>EU-AUT</t>
  </si>
  <si>
    <t>EU-Belgium</t>
  </si>
  <si>
    <t>EU-BEL</t>
  </si>
  <si>
    <t>EU-Bulgaria</t>
  </si>
  <si>
    <t>EU-BGR</t>
  </si>
  <si>
    <t>EU-Croatia</t>
  </si>
  <si>
    <t>EU-HRV</t>
  </si>
  <si>
    <t>EU-Cyprus</t>
  </si>
  <si>
    <t>EU-CYP</t>
  </si>
  <si>
    <t>EU-Czechia</t>
  </si>
  <si>
    <t>EU-CZE</t>
  </si>
  <si>
    <t>EU-Denmark</t>
  </si>
  <si>
    <t>EU-DNK</t>
  </si>
  <si>
    <t>EU-España</t>
  </si>
  <si>
    <t>EU-ESP</t>
  </si>
  <si>
    <t>EU-Estonia</t>
  </si>
  <si>
    <t>EU-EST</t>
  </si>
  <si>
    <t>EU-Finland</t>
  </si>
  <si>
    <t>EU-FIN</t>
  </si>
  <si>
    <t>EU-France</t>
  </si>
  <si>
    <t>EU-FRA</t>
  </si>
  <si>
    <t>EU-Germany</t>
  </si>
  <si>
    <t>EU-DEU</t>
  </si>
  <si>
    <t>EU-Greece</t>
  </si>
  <si>
    <t>EU-GRC</t>
  </si>
  <si>
    <t>EU-Hungary</t>
  </si>
  <si>
    <t>EU-HUN</t>
  </si>
  <si>
    <t>EU-Ireland</t>
  </si>
  <si>
    <t>EU-IRL</t>
  </si>
  <si>
    <t>EU-Italy</t>
  </si>
  <si>
    <t>EU-ITA</t>
  </si>
  <si>
    <t>EU-Latvia</t>
  </si>
  <si>
    <t>EU-LVA</t>
  </si>
  <si>
    <t>EU-Lithuania</t>
  </si>
  <si>
    <t>EU-LTU</t>
  </si>
  <si>
    <t>EU-Luxemburg</t>
  </si>
  <si>
    <t>EU-LUX</t>
  </si>
  <si>
    <t>EU-Malta</t>
  </si>
  <si>
    <t>EU-MLT</t>
  </si>
  <si>
    <t>EU-Netherlands</t>
  </si>
  <si>
    <t>EU-NLD</t>
  </si>
  <si>
    <t>EU-Poland</t>
  </si>
  <si>
    <t>EU-POL</t>
  </si>
  <si>
    <t>EU-Portugal</t>
  </si>
  <si>
    <t>EU-PRT</t>
  </si>
  <si>
    <t>EU-Rumania</t>
  </si>
  <si>
    <t>EU-ROU</t>
  </si>
  <si>
    <t>EU-Slovakia</t>
  </si>
  <si>
    <t>EU-SVK</t>
  </si>
  <si>
    <t>EU-Slovenia</t>
  </si>
  <si>
    <t>EU-SVN</t>
  </si>
  <si>
    <t>EU-Sweden</t>
  </si>
  <si>
    <t>EU-SWE</t>
  </si>
  <si>
    <t>England</t>
  </si>
  <si>
    <t>GB-ENG</t>
  </si>
  <si>
    <t>FR-St Pierre et Miquelon</t>
  </si>
  <si>
    <t>FR-SPM</t>
  </si>
  <si>
    <t>Great Britain</t>
  </si>
  <si>
    <t>Guinée Rep</t>
  </si>
  <si>
    <t>Korea Rep</t>
  </si>
  <si>
    <t>Northern Ireland</t>
  </si>
  <si>
    <t>GB-NIR</t>
  </si>
  <si>
    <t>NIR</t>
  </si>
  <si>
    <t>S Tomé e Príncipe</t>
  </si>
  <si>
    <t>Scotland</t>
  </si>
  <si>
    <t>GB-SCT</t>
  </si>
  <si>
    <t>SCT</t>
  </si>
  <si>
    <t>St Vincent and Grenadines</t>
  </si>
  <si>
    <t>UK-Bermuda</t>
  </si>
  <si>
    <t>UK-BMU</t>
  </si>
  <si>
    <t>UK-British Virgin Islands</t>
  </si>
  <si>
    <t>UK-VGB</t>
  </si>
  <si>
    <t>UK-Sta Helena</t>
  </si>
  <si>
    <t>UK-SHN</t>
  </si>
  <si>
    <t>UK-Turks and Caicos</t>
  </si>
  <si>
    <t>UK-TCA</t>
  </si>
  <si>
    <t>Wales</t>
  </si>
  <si>
    <t>GB-WLS</t>
  </si>
  <si>
    <t>WLS</t>
  </si>
  <si>
    <t>Gibraltar</t>
  </si>
  <si>
    <t>GIB</t>
  </si>
  <si>
    <t>GI</t>
  </si>
  <si>
    <t>North Macedonia Rep</t>
  </si>
  <si>
    <t>San Marino</t>
  </si>
  <si>
    <t>SMR</t>
  </si>
  <si>
    <t>SM</t>
  </si>
  <si>
    <t>Sta Lucia</t>
  </si>
  <si>
    <t>Longline: Bottom or Deep longliners</t>
  </si>
  <si>
    <t>Longline: Targetting sharks (BSH &amp; SMA)</t>
  </si>
  <si>
    <t>LLAMS</t>
  </si>
  <si>
    <t>Longline: American style</t>
  </si>
  <si>
    <t>LLMESO</t>
  </si>
  <si>
    <t>Longline: Mesopelagic</t>
  </si>
  <si>
    <t>Trolling lines</t>
  </si>
  <si>
    <t>GNS</t>
  </si>
  <si>
    <t>Gillnet: anchored (set gillnet, FAO)</t>
  </si>
  <si>
    <t>Trammel nets</t>
  </si>
  <si>
    <t>Tended lines</t>
  </si>
  <si>
    <t>FASA</t>
  </si>
  <si>
    <t>Farm (salmon farms)</t>
  </si>
  <si>
    <t>Straight fork length (old FL)</t>
  </si>
  <si>
    <t xml:space="preserve">Weight </t>
  </si>
  <si>
    <t>SLJFL</t>
  </si>
  <si>
    <t>Straight lower jaw fork length (old LJFL)</t>
  </si>
  <si>
    <t>Posterior edge of eye socket to Fork Length</t>
  </si>
  <si>
    <t>Curved Fork Length</t>
  </si>
  <si>
    <t>CLJFL</t>
  </si>
  <si>
    <t>Curved lower jaw fork length</t>
  </si>
  <si>
    <t>Head and Gutted (WGT)</t>
  </si>
  <si>
    <t>Türkiye</t>
  </si>
  <si>
    <t>FleetSuffix</t>
  </si>
  <si>
    <t xml:space="preserve">Fleet suffix </t>
  </si>
  <si>
    <t>Flotte (suffixe)</t>
  </si>
  <si>
    <t>Flota (sufijo)</t>
  </si>
  <si>
    <t>This field should be completed by those CPCs operating various fisheries with an independent data collection system (e.g. Portugal-Azores, Spain-Fuenterrabía, etc.). Additional fleet sufixes (former base ports/zones) can be adopted.</t>
  </si>
  <si>
    <t>Ce champ doit être complété par les CPCs opérant diverses pêcheries avec des systèmes de collecte de données indépendants (p.ex. Portugal-Azores, Espagne-Fuenterrabía, etc.). Des suffixes de flotte supplémentaires (anciens ports/zones de base) peuvent être adoptés.</t>
  </si>
  <si>
    <t xml:space="preserve">Este campo debe ser completado por aquellos CPCs que operan varias pesquerías con sistemas independientes de recopilación de datos (por ejemplo, Portugal-Azores, España-Fuenterrabía, etc.). Se pueden adoptar sufijos de flota adicionales (antiguos puertos/zonas base). </t>
  </si>
  <si>
    <t>LF</t>
  </si>
  <si>
    <t>Landings "Faux poisson"</t>
  </si>
  <si>
    <t>YFT-A</t>
  </si>
  <si>
    <t>Table. Sampling Areas (ICCAT Task 2)</t>
  </si>
  <si>
    <t>ETRO, ETRO-FP</t>
  </si>
  <si>
    <t>Artisanal, Industrial, ETRO, ETRO-FP</t>
  </si>
  <si>
    <t>Artisanal, ETRO, ETRO-FP</t>
  </si>
  <si>
    <t>Canarias, Coruña, Cantabric sea, ETRO, ETRO-FP, MEDI, Recreational (or Sport)</t>
  </si>
  <si>
    <t>Mainland, ETRO, ETRO-FP, MEDI, Recreational (or Sport), Guadeloupe, Martinique</t>
  </si>
  <si>
    <t>ETRO, ETRO-FP, ETRO-ANABAC, ETRO-PANOFI</t>
  </si>
  <si>
    <t>ETRO, ETRO-FP, MEDI</t>
  </si>
  <si>
    <t>Artisanal, ETRO, ETRO-FP, Recreational (or Sport)</t>
  </si>
  <si>
    <t>* Suffix "a" refers to the sub-version (revisions with minor corrections &amp; no changes in structure) within a year. Sequentially issued (a,b,...) if required (i.e.: 2025a, 2025b, ...)</t>
  </si>
  <si>
    <t xml:space="preserve">SA = Sampling Areas of ICCAT (species based) </t>
  </si>
  <si>
    <t>Cabo Verde</t>
  </si>
  <si>
    <t>UK-Jersey</t>
  </si>
  <si>
    <t>UK-JEY</t>
  </si>
  <si>
    <t>JEY</t>
  </si>
  <si>
    <t>JE</t>
  </si>
  <si>
    <t>ART-VAOS, ART-PVER, ETRO</t>
  </si>
  <si>
    <t>Northern bluefin tuna</t>
  </si>
  <si>
    <t>Thon rouge du Nord</t>
  </si>
  <si>
    <t>Atún rojo</t>
  </si>
  <si>
    <t>SFA</t>
  </si>
  <si>
    <t>Istiophorus platypterus</t>
  </si>
  <si>
    <t>Sailfish</t>
  </si>
  <si>
    <t>Voilier</t>
  </si>
  <si>
    <t>Pez vela</t>
  </si>
  <si>
    <t>COM</t>
  </si>
  <si>
    <t>Scomberomorus commerson</t>
  </si>
  <si>
    <t>Narrow-barred Spanish mackerel</t>
  </si>
  <si>
    <t>Thazard rayé indo-pacifique</t>
  </si>
  <si>
    <t>Carite estriado Indo-Pacífico</t>
  </si>
  <si>
    <t>Istiompax indica</t>
  </si>
  <si>
    <t>Kajikia audax</t>
  </si>
  <si>
    <t>True tunas NEI</t>
  </si>
  <si>
    <t>Thons Thunnus NCA</t>
  </si>
  <si>
    <t>Atunes verdaderos NEP</t>
  </si>
  <si>
    <t>Tunas NEI</t>
  </si>
  <si>
    <t>Thonidés NCA</t>
  </si>
  <si>
    <t>Atunes NEP</t>
  </si>
  <si>
    <t>Marlins,sailfishes,etc. NEI</t>
  </si>
  <si>
    <t>Makaires,marlins,voiliers NCA</t>
  </si>
  <si>
    <t>Agujas,marlines,peces vela NEP</t>
  </si>
  <si>
    <t>HXT</t>
  </si>
  <si>
    <t>Heptranchias perlo</t>
  </si>
  <si>
    <t>Sharpnose sevengill shark</t>
  </si>
  <si>
    <t>Requin perlon</t>
  </si>
  <si>
    <t>Cañabota bocadulce</t>
  </si>
  <si>
    <t>SBL</t>
  </si>
  <si>
    <t>Hexanchus griseus</t>
  </si>
  <si>
    <t>Bluntnose sixgill shark</t>
  </si>
  <si>
    <t>Requin griset</t>
  </si>
  <si>
    <t>Cañabota gris</t>
  </si>
  <si>
    <t>NTC</t>
  </si>
  <si>
    <t>Notorynchus cepedianus</t>
  </si>
  <si>
    <t>Broadnose sevengill shark</t>
  </si>
  <si>
    <t>Platnez</t>
  </si>
  <si>
    <t>Cañabota gata</t>
  </si>
  <si>
    <t>CCT</t>
  </si>
  <si>
    <t>Carcharias taurus</t>
  </si>
  <si>
    <t>Sand tiger shark</t>
  </si>
  <si>
    <t>Requin taureau</t>
  </si>
  <si>
    <t>Toro bacota</t>
  </si>
  <si>
    <t>GNC</t>
  </si>
  <si>
    <t>Ginglymostoma cirratum</t>
  </si>
  <si>
    <t>Nurse shark</t>
  </si>
  <si>
    <t>Requin-nourrice</t>
  </si>
  <si>
    <t>Gata nodriza</t>
  </si>
  <si>
    <t>CCP</t>
  </si>
  <si>
    <t>Carcharhinus plumbeus</t>
  </si>
  <si>
    <t>Sandbar shark</t>
  </si>
  <si>
    <t>Requin gris</t>
  </si>
  <si>
    <t>Tiburón trozo</t>
  </si>
  <si>
    <t>CCL</t>
  </si>
  <si>
    <t>Carcharhinus limbatus</t>
  </si>
  <si>
    <t>Blacktip shark</t>
  </si>
  <si>
    <t>Requin bordé</t>
  </si>
  <si>
    <t>Tiburón macuira</t>
  </si>
  <si>
    <t>CCN</t>
  </si>
  <si>
    <t>Carcharhinus acronotus</t>
  </si>
  <si>
    <t>Blacknose shark</t>
  </si>
  <si>
    <t>Requin nez noir</t>
  </si>
  <si>
    <t>Tiburón amarillo</t>
  </si>
  <si>
    <t>CCR</t>
  </si>
  <si>
    <t>Carcharhinus porosus</t>
  </si>
  <si>
    <t>Smalltail shark</t>
  </si>
  <si>
    <t>Requin tiqueue</t>
  </si>
  <si>
    <t>Tiburón poroso</t>
  </si>
  <si>
    <t>DUS</t>
  </si>
  <si>
    <t>Carcharhinus obscurus</t>
  </si>
  <si>
    <t>Dusky shark</t>
  </si>
  <si>
    <t>Requin de sable</t>
  </si>
  <si>
    <t>Tiburón arenero</t>
  </si>
  <si>
    <t>CCE</t>
  </si>
  <si>
    <t>Carcharhinus leucas</t>
  </si>
  <si>
    <t>Bull shark</t>
  </si>
  <si>
    <t>Requin bouledogue</t>
  </si>
  <si>
    <t>Tiburón sarda</t>
  </si>
  <si>
    <t>BRO</t>
  </si>
  <si>
    <t>Carcharhinus brachyurus</t>
  </si>
  <si>
    <t>Copper shark</t>
  </si>
  <si>
    <t>Requin cuivre</t>
  </si>
  <si>
    <t>Tiburón cobrizo</t>
  </si>
  <si>
    <t>CCB</t>
  </si>
  <si>
    <t>Carcharhinus brevipinna</t>
  </si>
  <si>
    <t>Spinner shark</t>
  </si>
  <si>
    <t>Requin tisserand</t>
  </si>
  <si>
    <t>Tiburón aleta negra</t>
  </si>
  <si>
    <t>Carcharhinus signatus</t>
  </si>
  <si>
    <t>Night shark</t>
  </si>
  <si>
    <t>Requin de nuit</t>
  </si>
  <si>
    <t>Tiburón de noche</t>
  </si>
  <si>
    <t>CCO</t>
  </si>
  <si>
    <t>Carcharhinus isodon</t>
  </si>
  <si>
    <t>Finetooth shark</t>
  </si>
  <si>
    <t>Requin à petites dents</t>
  </si>
  <si>
    <t>Tiburón dentiliso</t>
  </si>
  <si>
    <t>CCA</t>
  </si>
  <si>
    <t>Carcharhinus altimus</t>
  </si>
  <si>
    <t>Bignose shark</t>
  </si>
  <si>
    <t>Requin babosse</t>
  </si>
  <si>
    <t>Tiburón baboso</t>
  </si>
  <si>
    <t>TIG</t>
  </si>
  <si>
    <t>Galeocerdo cuvier</t>
  </si>
  <si>
    <t>Tiger shark</t>
  </si>
  <si>
    <t>Requin tigre commun</t>
  </si>
  <si>
    <t>Tintorera tigre</t>
  </si>
  <si>
    <t>NGB</t>
  </si>
  <si>
    <t>Negaprion brevirostris</t>
  </si>
  <si>
    <t>Lemon shark</t>
  </si>
  <si>
    <t>Requin citron</t>
  </si>
  <si>
    <t>Tiburón galano</t>
  </si>
  <si>
    <t>GAG</t>
  </si>
  <si>
    <t>Galeorhinus galeus</t>
  </si>
  <si>
    <t>Tope shark</t>
  </si>
  <si>
    <t>Requin-hâ</t>
  </si>
  <si>
    <t>Cazón</t>
  </si>
  <si>
    <t>XMY</t>
  </si>
  <si>
    <t>Mobula yarae</t>
  </si>
  <si>
    <t>Atlantic manta ray</t>
  </si>
  <si>
    <t>Raie mante de l'Atlantique</t>
  </si>
  <si>
    <t>Manta del Atlántico</t>
  </si>
  <si>
    <t>XHV</t>
  </si>
  <si>
    <t>Hexanchus vitulus</t>
  </si>
  <si>
    <t>Atlantic sixgill shark</t>
  </si>
  <si>
    <t>Requin-vache de l'Atlantique</t>
  </si>
  <si>
    <t>Cañabota ojigrande del Atlantico</t>
  </si>
  <si>
    <t>CCV</t>
  </si>
  <si>
    <t>Carcharhinus perezii</t>
  </si>
  <si>
    <t>Caribbean reef shark</t>
  </si>
  <si>
    <t>Requin de récif</t>
  </si>
  <si>
    <t>Tiburón coralino</t>
  </si>
  <si>
    <t>Centroscymnus owstonii</t>
  </si>
  <si>
    <t>Etmopterus bullisi</t>
  </si>
  <si>
    <t>Euprotomicrus bispinatus</t>
  </si>
  <si>
    <t>Pygmy shark</t>
  </si>
  <si>
    <t>Euprotomicroides zantedeschia</t>
  </si>
  <si>
    <t>Taillight shark</t>
  </si>
  <si>
    <t>Isistius plutodus</t>
  </si>
  <si>
    <t>Largetooth cookiecutter shark</t>
  </si>
  <si>
    <t>Mitsukurina owstoni</t>
  </si>
  <si>
    <t>Goblin shark</t>
  </si>
  <si>
    <t>Mobula alfredi</t>
  </si>
  <si>
    <t>Reef manta ray</t>
  </si>
  <si>
    <t>Raie manta de récif</t>
  </si>
  <si>
    <t>Manta de arrecife</t>
  </si>
  <si>
    <t>Mobula birostris</t>
  </si>
  <si>
    <t>Deania profundorum</t>
  </si>
  <si>
    <t>SHL</t>
  </si>
  <si>
    <t>Etmopterus spp</t>
  </si>
  <si>
    <t>Lanternsharks NEI</t>
  </si>
  <si>
    <t>Sagres NCA</t>
  </si>
  <si>
    <t>Tollos lucero NEP</t>
  </si>
  <si>
    <t>Hammerhead sharks NEI</t>
  </si>
  <si>
    <t>Requins marteau NCA</t>
  </si>
  <si>
    <t>Cornudas(=Peces martillo) NEP</t>
  </si>
  <si>
    <t>Thresher sharks NEI</t>
  </si>
  <si>
    <t>Renards de mer NCA</t>
  </si>
  <si>
    <t>Zorros NEP</t>
  </si>
  <si>
    <t>Mantas, devil rays NEI</t>
  </si>
  <si>
    <t>Mantes, diables de mer NCA</t>
  </si>
  <si>
    <t>Mantas, diablos NEP</t>
  </si>
  <si>
    <t>Mackerel sharks,porbeagles NEI</t>
  </si>
  <si>
    <t>Requins taupe NCA</t>
  </si>
  <si>
    <t>Jaquetones,marrajos NEP</t>
  </si>
  <si>
    <t>Requiem sharks NEI</t>
  </si>
  <si>
    <t>Requins NCA</t>
  </si>
  <si>
    <t>Cazones picudos,tintoreras NEP</t>
  </si>
  <si>
    <t>Stingrays, butterfly rays NEI</t>
  </si>
  <si>
    <t>Pastenagues, etc. NCA</t>
  </si>
  <si>
    <t>Pastinacas, etc. NEP</t>
  </si>
  <si>
    <t>Selachii (Pleurotremata)</t>
  </si>
  <si>
    <t>Various sharks NEI</t>
  </si>
  <si>
    <t>Requins divers NCA</t>
  </si>
  <si>
    <t>Escualos diversos NEP</t>
  </si>
  <si>
    <t>6-Division</t>
  </si>
  <si>
    <t>Spotted porcupinefish</t>
  </si>
  <si>
    <t>Balistes capriscus</t>
  </si>
  <si>
    <t>Barracudas, etc. NEI</t>
  </si>
  <si>
    <t>Bécunes, barracudas, etc. NCA</t>
  </si>
  <si>
    <t>Barracudas, picudas, etc. NEP</t>
  </si>
  <si>
    <t>Flyingfishes NEI</t>
  </si>
  <si>
    <t>Exocets NCA</t>
  </si>
  <si>
    <t>Voladores NEP</t>
  </si>
  <si>
    <t>Triggerfishes, durgons NEI</t>
  </si>
  <si>
    <t>Balistes NCA</t>
  </si>
  <si>
    <t>Peces-ballesta NEP</t>
  </si>
  <si>
    <t>Testudinata</t>
  </si>
  <si>
    <t>Marine turtles NEI</t>
  </si>
  <si>
    <t>Tortues de mer NCA</t>
  </si>
  <si>
    <t>Tortugas de mar NEP</t>
  </si>
  <si>
    <t>5-Order</t>
  </si>
  <si>
    <t>Caspian Gull</t>
  </si>
  <si>
    <t>Goéland pontique</t>
  </si>
  <si>
    <t>Gaviota del Caspio</t>
  </si>
  <si>
    <t>Ardenna carneipes</t>
  </si>
  <si>
    <t>Ardenna gravis</t>
  </si>
  <si>
    <t>Ardenna grisea</t>
  </si>
  <si>
    <t>Catharacta skua</t>
  </si>
  <si>
    <t>Thalassarche melanophris</t>
  </si>
  <si>
    <t>Albatrosses NEI</t>
  </si>
  <si>
    <t>Albatros NCA</t>
  </si>
  <si>
    <t>Albatros NEP</t>
  </si>
  <si>
    <t>Otaria byronia</t>
  </si>
  <si>
    <t>Fur seals NEI</t>
  </si>
  <si>
    <t>Otaries NCA</t>
  </si>
  <si>
    <t>Lobos finos NEP</t>
  </si>
  <si>
    <t>Beaked whales NEI</t>
  </si>
  <si>
    <t>Dolphins NEI</t>
  </si>
  <si>
    <t>Dauphins NCA</t>
  </si>
  <si>
    <t>Delfínidos NEP</t>
  </si>
  <si>
    <t>TPL</t>
  </si>
  <si>
    <t>Trapline</t>
  </si>
  <si>
    <t>SFA-E</t>
  </si>
  <si>
    <t>SFA-W</t>
  </si>
  <si>
    <t>2026b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</si>
</sst>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6" x14ac:knownFonts="1">
    <font>
      <sz val="11"/>
      <color theme="1"/>
      <name val="Calibri"/>
      <family val="2"/>
      <scheme val="minor"/>
    </font>
    <font>
      <sz val="10"/>
      <name val="Arial"/>
      <family val="2"/>
    </font>
    <font>
      <sz val="10"/>
      <name val="Arial"/>
      <family val="2"/>
    </font>
    <font>
      <sz val="10"/>
      <color indexed="8"/>
      <name val="Arial"/>
      <family val="2"/>
    </font>
    <font>
      <u/>
      <sz val="10"/>
      <color indexed="12"/>
      <name val="Arial"/>
      <family val="2"/>
    </font>
    <font>
      <b/>
      <sz val="9"/>
      <name val="Calibri"/>
      <family val="2"/>
      <scheme val="minor"/>
    </font>
    <font>
      <sz val="9"/>
      <name val="Calibri"/>
      <family val="2"/>
      <scheme val="minor"/>
    </font>
    <font>
      <sz val="10"/>
      <color theme="1"/>
      <name val="Calibri"/>
      <family val="2"/>
      <scheme val="minor"/>
    </font>
    <font>
      <sz val="9"/>
      <color theme="1"/>
      <name val="Calibri"/>
      <family val="2"/>
      <scheme val="minor"/>
    </font>
    <font>
      <b/>
      <sz val="8"/>
      <name val="Calibri"/>
      <family val="2"/>
      <scheme val="minor"/>
    </font>
    <font>
      <b/>
      <u/>
      <sz val="9"/>
      <color indexed="10"/>
      <name val="Calibri"/>
      <family val="2"/>
      <scheme val="minor"/>
    </font>
    <font>
      <sz val="9"/>
      <color indexed="8"/>
      <name val="Calibri"/>
      <family val="2"/>
      <scheme val="minor"/>
    </font>
    <font>
      <b/>
      <sz val="9"/>
      <color theme="1"/>
      <name val="Calibri"/>
      <family val="2"/>
      <scheme val="minor"/>
    </font>
    <font>
      <b/>
      <sz val="10"/>
      <name val="Calibri"/>
      <family val="2"/>
      <scheme val="minor"/>
    </font>
    <font>
      <b/>
      <sz val="14"/>
      <color theme="0"/>
      <name val="Cambria"/>
      <family val="1"/>
      <scheme val="major"/>
    </font>
    <font>
      <b/>
      <sz val="9"/>
      <color rgb="FF0070C0"/>
      <name val="Cambria"/>
      <family val="1"/>
      <scheme val="major"/>
    </font>
    <font>
      <sz val="9"/>
      <color rgb="FF0070C0"/>
      <name val="Cambria"/>
      <family val="1"/>
      <scheme val="major"/>
    </font>
    <font>
      <b/>
      <sz val="9"/>
      <color rgb="FF00B050"/>
      <name val="Cambria"/>
      <family val="1"/>
      <scheme val="major"/>
    </font>
    <font>
      <b/>
      <sz val="9"/>
      <color rgb="FFFF0000"/>
      <name val="Cambria"/>
      <family val="1"/>
      <scheme val="major"/>
    </font>
    <font>
      <b/>
      <sz val="16"/>
      <color rgb="FF0070C0"/>
      <name val="Cambria"/>
      <family val="1"/>
      <scheme val="major"/>
    </font>
    <font>
      <sz val="9"/>
      <name val="Calibri"/>
      <family val="2"/>
    </font>
    <font>
      <b/>
      <sz val="14"/>
      <color rgb="FF0070C0"/>
      <name val="Calibri"/>
      <family val="2"/>
    </font>
    <font>
      <sz val="8"/>
      <name val="Calibri"/>
      <family val="2"/>
      <scheme val="minor"/>
    </font>
    <font>
      <b/>
      <sz val="8"/>
      <color theme="0"/>
      <name val="Calibri"/>
      <family val="2"/>
      <scheme val="minor"/>
    </font>
    <font>
      <sz val="8"/>
      <color theme="1"/>
      <name val="Calibri"/>
      <family val="2"/>
      <scheme val="minor"/>
    </font>
    <font>
      <sz val="9"/>
      <color rgb="FFFF0000"/>
      <name val="Calibri"/>
      <family val="2"/>
      <scheme val="minor"/>
    </font>
    <font>
      <sz val="9"/>
      <color rgb="FF000000"/>
      <name val="Calibri"/>
      <family val="2"/>
      <scheme val="minor"/>
    </font>
    <font>
      <b/>
      <sz val="12"/>
      <name val="Calibri"/>
      <family val="2"/>
      <scheme val="minor"/>
    </font>
    <font>
      <sz val="8"/>
      <color indexed="8"/>
      <name val="Calibri"/>
      <family val="2"/>
    </font>
    <font>
      <sz val="10"/>
      <color indexed="8"/>
      <name val="Arial"/>
      <family val="2"/>
    </font>
    <font>
      <sz val="8"/>
      <color indexed="8"/>
      <name val="Calibri"/>
      <family val="2"/>
    </font>
    <font>
      <b/>
      <u/>
      <sz val="8"/>
      <name val="Calibri"/>
      <family val="2"/>
      <scheme val="minor"/>
    </font>
    <font>
      <b/>
      <sz val="8"/>
      <color rgb="FF0070C0"/>
      <name val="Calibri"/>
      <family val="2"/>
      <scheme val="minor"/>
    </font>
    <font>
      <u/>
      <sz val="8"/>
      <color indexed="12"/>
      <name val="Calibri"/>
      <family val="2"/>
      <scheme val="minor"/>
    </font>
    <font>
      <u/>
      <sz val="8"/>
      <name val="Calibri"/>
      <family val="2"/>
      <scheme val="minor"/>
    </font>
    <font>
      <b/>
      <sz val="8"/>
      <color rgb="FFFF0000"/>
      <name val="Calibri"/>
      <family val="2"/>
      <scheme val="minor"/>
    </font>
    <font>
      <b/>
      <sz val="8"/>
      <color rgb="FF00B050"/>
      <name val="Calibri"/>
      <family val="2"/>
      <scheme val="minor"/>
    </font>
    <font>
      <sz val="8"/>
      <color theme="0" tint="-4.9989318521683403E-2"/>
      <name val="Calibri"/>
      <family val="2"/>
      <scheme val="minor"/>
    </font>
    <font>
      <sz val="9"/>
      <name val="Times New Roman"/>
      <family val="1"/>
    </font>
    <font>
      <sz val="9"/>
      <color rgb="FFFF0000"/>
      <name val="Times New Roman"/>
      <family val="1"/>
    </font>
    <font>
      <sz val="9"/>
      <color rgb="FF00B0F0"/>
      <name val="Calibri"/>
      <family val="2"/>
      <scheme val="minor"/>
    </font>
    <font>
      <sz val="9"/>
      <color indexed="8"/>
      <name val="Calibri"/>
      <family val="2"/>
    </font>
    <font>
      <sz val="9"/>
      <color theme="1"/>
      <name val="Calibri"/>
      <family val="2"/>
    </font>
    <font>
      <sz val="9"/>
      <color rgb="FF00B0F0"/>
      <name val="Calibri"/>
      <family val="2"/>
    </font>
    <font>
      <sz val="9"/>
      <color rgb="FF0070C0"/>
      <name val="Calibri"/>
      <family val="2"/>
      <scheme val="minor"/>
    </font>
    <font>
      <sz val="10"/>
      <color rgb="FF00B0F0"/>
      <name val="Calibri"/>
      <family val="2"/>
    </font>
  </fonts>
  <fills count="17">
    <fill>
      <patternFill patternType="none"/>
    </fill>
    <fill>
      <patternFill patternType="gray125"/>
    </fill>
    <fill>
      <patternFill patternType="solid">
        <fgColor theme="9" tint="0.79998168889431442"/>
        <bgColor indexed="64"/>
      </patternFill>
    </fill>
    <fill>
      <patternFill patternType="solid">
        <fgColor indexed="9"/>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0" tint="-0.14999847407452621"/>
        <bgColor indexed="8"/>
      </patternFill>
    </fill>
    <fill>
      <patternFill patternType="solid">
        <fgColor rgb="FFFFFF00"/>
        <bgColor indexed="64"/>
      </patternFill>
    </fill>
    <fill>
      <patternFill patternType="solid">
        <fgColor theme="0" tint="-0.249977111117893"/>
        <bgColor indexed="64"/>
      </patternFill>
    </fill>
    <fill>
      <patternFill patternType="solid">
        <fgColor theme="7"/>
        <bgColor theme="7"/>
      </patternFill>
    </fill>
    <fill>
      <patternFill patternType="solid">
        <fgColor theme="8" tint="0.79998168889431442"/>
        <bgColor indexed="64"/>
      </patternFill>
    </fill>
    <fill>
      <patternFill patternType="solid">
        <fgColor theme="3" tint="0.39997558519241921"/>
        <bgColor indexed="64"/>
      </patternFill>
    </fill>
    <fill>
      <patternFill patternType="solid">
        <fgColor theme="6" tint="0.59999389629810485"/>
        <bgColor indexed="64"/>
      </patternFill>
    </fill>
    <fill>
      <patternFill patternType="solid">
        <fgColor theme="6" tint="0.59999389629810485"/>
        <bgColor theme="4" tint="0.79998168889431442"/>
      </patternFill>
    </fill>
    <fill>
      <patternFill patternType="solid">
        <fgColor theme="5" tint="0.79998168889431442"/>
        <bgColor indexed="64"/>
      </patternFill>
    </fill>
    <fill>
      <patternFill patternType="solid">
        <fgColor theme="6" tint="0.59999389629810485"/>
        <bgColor indexed="0"/>
      </patternFill>
    </fill>
    <fill>
      <patternFill patternType="solid">
        <fgColor theme="7" tint="0.79998168889431442"/>
        <bgColor theme="7" tint="0.79998168889431442"/>
      </patternFill>
    </fill>
  </fills>
  <borders count="25">
    <border>
      <left/>
      <right/>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top style="thin">
        <color indexed="64"/>
      </top>
      <bottom/>
      <diagonal/>
    </border>
    <border>
      <left style="thin">
        <color indexed="64"/>
      </left>
      <right style="thin">
        <color indexed="64"/>
      </right>
      <top/>
      <bottom/>
      <diagonal/>
    </border>
    <border>
      <left style="thin">
        <color indexed="64"/>
      </left>
      <right/>
      <top/>
      <bottom/>
      <diagonal/>
    </border>
    <border>
      <left/>
      <right style="thin">
        <color indexed="64"/>
      </right>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theme="7" tint="0.39997558519241921"/>
      </left>
      <right/>
      <top style="thin">
        <color theme="7" tint="0.39997558519241921"/>
      </top>
      <bottom style="thin">
        <color theme="7" tint="0.39997558519241921"/>
      </bottom>
      <diagonal/>
    </border>
    <border>
      <left/>
      <right/>
      <top style="thin">
        <color theme="7" tint="0.39997558519241921"/>
      </top>
      <bottom style="thin">
        <color theme="7" tint="0.39997558519241921"/>
      </bottom>
      <diagonal/>
    </border>
    <border>
      <left/>
      <right style="thin">
        <color theme="7" tint="0.39997558519241921"/>
      </right>
      <top style="thin">
        <color theme="7" tint="0.39997558519241921"/>
      </top>
      <bottom style="thin">
        <color theme="7" tint="0.39997558519241921"/>
      </bottom>
      <diagonal/>
    </border>
    <border>
      <left/>
      <right/>
      <top style="thin">
        <color indexed="64"/>
      </top>
      <bottom style="thin">
        <color indexed="64"/>
      </bottom>
      <diagonal/>
    </border>
    <border>
      <left style="thin">
        <color theme="8"/>
      </left>
      <right/>
      <top style="thin">
        <color theme="8"/>
      </top>
      <bottom/>
      <diagonal/>
    </border>
    <border>
      <left/>
      <right/>
      <top style="thin">
        <color theme="8"/>
      </top>
      <bottom/>
      <diagonal/>
    </border>
    <border>
      <left style="thin">
        <color theme="8"/>
      </left>
      <right/>
      <top style="thin">
        <color theme="8"/>
      </top>
      <bottom style="thin">
        <color theme="7" tint="0.39997558519241921"/>
      </bottom>
      <diagonal/>
    </border>
    <border>
      <left/>
      <right/>
      <top style="thin">
        <color theme="8"/>
      </top>
      <bottom style="thin">
        <color theme="7" tint="0.39997558519241921"/>
      </bottom>
      <diagonal/>
    </border>
    <border>
      <left/>
      <right style="thin">
        <color theme="7" tint="0.39997558519241921"/>
      </right>
      <top style="thin">
        <color theme="8"/>
      </top>
      <bottom style="thin">
        <color theme="7" tint="0.39997558519241921"/>
      </bottom>
      <diagonal/>
    </border>
    <border>
      <left/>
      <right style="thin">
        <color theme="8"/>
      </right>
      <top style="thin">
        <color theme="8"/>
      </top>
      <bottom style="thin">
        <color theme="7" tint="0.39997558519241921"/>
      </bottom>
      <diagonal/>
    </border>
  </borders>
  <cellStyleXfs count="10">
    <xf numFmtId="0" fontId="0" fillId="0" borderId="0"/>
    <xf numFmtId="0" fontId="1" fillId="0" borderId="0"/>
    <xf numFmtId="0" fontId="2" fillId="0" borderId="0"/>
    <xf numFmtId="0" fontId="3" fillId="0" borderId="0"/>
    <xf numFmtId="0" fontId="3" fillId="0" borderId="0"/>
    <xf numFmtId="0" fontId="4" fillId="0" borderId="0" applyNumberFormat="0" applyFill="0" applyBorder="0" applyAlignment="0" applyProtection="0">
      <alignment vertical="top"/>
      <protection locked="0"/>
    </xf>
    <xf numFmtId="0" fontId="29" fillId="0" borderId="0"/>
    <xf numFmtId="0" fontId="3" fillId="0" borderId="0"/>
    <xf numFmtId="0" fontId="3" fillId="0" borderId="0"/>
    <xf numFmtId="0" fontId="3" fillId="0" borderId="0"/>
  </cellStyleXfs>
  <cellXfs count="369">
    <xf numFmtId="0" fontId="0" fillId="0" borderId="0" xfId="0"/>
    <xf numFmtId="0" fontId="8" fillId="0" borderId="0" xfId="0" applyFont="1" applyProtection="1">
      <protection hidden="1"/>
    </xf>
    <xf numFmtId="0" fontId="8" fillId="0" borderId="0" xfId="0" applyFont="1" applyProtection="1">
      <protection locked="0"/>
    </xf>
    <xf numFmtId="0" fontId="6" fillId="0" borderId="0" xfId="1" applyFont="1" applyProtection="1">
      <protection hidden="1"/>
    </xf>
    <xf numFmtId="0" fontId="10" fillId="0" borderId="0" xfId="1" applyFont="1" applyAlignment="1" applyProtection="1">
      <alignment vertical="top"/>
      <protection hidden="1"/>
    </xf>
    <xf numFmtId="0" fontId="11" fillId="0" borderId="10" xfId="1" applyFont="1" applyBorder="1" applyAlignment="1" applyProtection="1">
      <alignment horizontal="center" vertical="top"/>
      <protection hidden="1"/>
    </xf>
    <xf numFmtId="0" fontId="11" fillId="0" borderId="0" xfId="1" applyFont="1" applyAlignment="1" applyProtection="1">
      <alignment vertical="top"/>
      <protection hidden="1"/>
    </xf>
    <xf numFmtId="0" fontId="11" fillId="0" borderId="11" xfId="1" applyFont="1" applyBorder="1" applyAlignment="1" applyProtection="1">
      <alignment vertical="top"/>
      <protection hidden="1"/>
    </xf>
    <xf numFmtId="0" fontId="6" fillId="0" borderId="10" xfId="1" applyFont="1" applyBorder="1" applyProtection="1">
      <protection hidden="1"/>
    </xf>
    <xf numFmtId="0" fontId="6" fillId="0" borderId="11" xfId="1" applyFont="1" applyBorder="1" applyProtection="1">
      <protection hidden="1"/>
    </xf>
    <xf numFmtId="0" fontId="11" fillId="0" borderId="4" xfId="1" applyFont="1" applyBorder="1" applyAlignment="1" applyProtection="1">
      <alignment horizontal="center" vertical="top"/>
      <protection hidden="1"/>
    </xf>
    <xf numFmtId="0" fontId="11" fillId="0" borderId="3" xfId="1" applyFont="1" applyBorder="1" applyAlignment="1" applyProtection="1">
      <alignment vertical="top"/>
      <protection hidden="1"/>
    </xf>
    <xf numFmtId="0" fontId="11" fillId="0" borderId="2" xfId="1" applyFont="1" applyBorder="1" applyAlignment="1" applyProtection="1">
      <alignment vertical="top"/>
      <protection hidden="1"/>
    </xf>
    <xf numFmtId="0" fontId="6" fillId="0" borderId="4" xfId="1" applyFont="1" applyBorder="1" applyProtection="1">
      <protection hidden="1"/>
    </xf>
    <xf numFmtId="0" fontId="6" fillId="7" borderId="2" xfId="1" applyFont="1" applyFill="1" applyBorder="1" applyProtection="1">
      <protection hidden="1"/>
    </xf>
    <xf numFmtId="0" fontId="6" fillId="0" borderId="0" xfId="1" applyFont="1" applyAlignment="1" applyProtection="1">
      <alignment vertical="top"/>
      <protection hidden="1"/>
    </xf>
    <xf numFmtId="0" fontId="6" fillId="0" borderId="10" xfId="1" applyFont="1" applyBorder="1" applyAlignment="1" applyProtection="1">
      <alignment vertical="top"/>
      <protection hidden="1"/>
    </xf>
    <xf numFmtId="0" fontId="6" fillId="0" borderId="11" xfId="1" applyFont="1" applyBorder="1" applyAlignment="1" applyProtection="1">
      <alignment vertical="top"/>
      <protection hidden="1"/>
    </xf>
    <xf numFmtId="0" fontId="6" fillId="0" borderId="4" xfId="1" applyFont="1" applyBorder="1" applyAlignment="1" applyProtection="1">
      <alignment vertical="top"/>
      <protection hidden="1"/>
    </xf>
    <xf numFmtId="0" fontId="6" fillId="7" borderId="2" xfId="1" applyFont="1" applyFill="1" applyBorder="1" applyAlignment="1" applyProtection="1">
      <alignment vertical="top"/>
      <protection hidden="1"/>
    </xf>
    <xf numFmtId="0" fontId="11" fillId="0" borderId="4" xfId="1" applyFont="1" applyBorder="1" applyAlignment="1" applyProtection="1">
      <alignment vertical="top"/>
      <protection hidden="1"/>
    </xf>
    <xf numFmtId="0" fontId="11" fillId="0" borderId="10" xfId="1" applyFont="1" applyBorder="1" applyAlignment="1" applyProtection="1">
      <alignment vertical="top"/>
      <protection hidden="1"/>
    </xf>
    <xf numFmtId="0" fontId="6" fillId="0" borderId="2" xfId="1" applyFont="1" applyBorder="1" applyProtection="1">
      <protection hidden="1"/>
    </xf>
    <xf numFmtId="0" fontId="6" fillId="0" borderId="0" xfId="2" applyFont="1" applyAlignment="1" applyProtection="1">
      <alignment vertical="top" wrapText="1"/>
      <protection hidden="1"/>
    </xf>
    <xf numFmtId="0" fontId="6" fillId="0" borderId="0" xfId="0" applyFont="1" applyAlignment="1" applyProtection="1">
      <alignment vertical="top" wrapText="1"/>
      <protection hidden="1"/>
    </xf>
    <xf numFmtId="0" fontId="6" fillId="0" borderId="13" xfId="0" applyFont="1" applyBorder="1" applyAlignment="1" applyProtection="1">
      <alignment vertical="top" wrapText="1"/>
      <protection hidden="1"/>
    </xf>
    <xf numFmtId="0" fontId="6" fillId="0" borderId="5" xfId="0" applyFont="1" applyBorder="1" applyAlignment="1" applyProtection="1">
      <alignment vertical="top" wrapText="1"/>
      <protection hidden="1"/>
    </xf>
    <xf numFmtId="0" fontId="6" fillId="0" borderId="1" xfId="0" applyFont="1" applyBorder="1" applyAlignment="1" applyProtection="1">
      <alignment vertical="top" wrapText="1"/>
      <protection hidden="1"/>
    </xf>
    <xf numFmtId="0" fontId="6" fillId="0" borderId="13" xfId="2" applyFont="1" applyBorder="1" applyAlignment="1" applyProtection="1">
      <alignment vertical="top" wrapText="1"/>
      <protection hidden="1"/>
    </xf>
    <xf numFmtId="0" fontId="6" fillId="0" borderId="5" xfId="2" applyFont="1" applyBorder="1" applyAlignment="1" applyProtection="1">
      <alignment vertical="top" wrapText="1"/>
      <protection hidden="1"/>
    </xf>
    <xf numFmtId="0" fontId="6" fillId="0" borderId="9" xfId="2" applyFont="1" applyBorder="1" applyAlignment="1" applyProtection="1">
      <alignment vertical="top" wrapText="1"/>
      <protection hidden="1"/>
    </xf>
    <xf numFmtId="0" fontId="6" fillId="0" borderId="1" xfId="2" applyFont="1" applyBorder="1" applyAlignment="1" applyProtection="1">
      <alignment vertical="top" wrapText="1"/>
      <protection hidden="1"/>
    </xf>
    <xf numFmtId="0" fontId="6" fillId="0" borderId="6" xfId="2" applyFont="1" applyBorder="1" applyAlignment="1" applyProtection="1">
      <alignment vertical="top" wrapText="1"/>
      <protection hidden="1"/>
    </xf>
    <xf numFmtId="0" fontId="6" fillId="0" borderId="11" xfId="2" applyFont="1" applyBorder="1" applyAlignment="1" applyProtection="1">
      <alignment vertical="top" wrapText="1"/>
      <protection hidden="1"/>
    </xf>
    <xf numFmtId="0" fontId="6" fillId="0" borderId="12" xfId="2" applyFont="1" applyBorder="1" applyAlignment="1" applyProtection="1">
      <alignment vertical="top" wrapText="1"/>
      <protection hidden="1"/>
    </xf>
    <xf numFmtId="0" fontId="6" fillId="0" borderId="2" xfId="2" applyFont="1" applyBorder="1" applyAlignment="1" applyProtection="1">
      <alignment vertical="top" wrapText="1"/>
      <protection hidden="1"/>
    </xf>
    <xf numFmtId="0" fontId="18" fillId="0" borderId="2" xfId="0" applyFont="1" applyBorder="1" applyAlignment="1" applyProtection="1">
      <alignment horizontal="center" vertical="center"/>
      <protection locked="0"/>
    </xf>
    <xf numFmtId="0" fontId="15" fillId="4" borderId="7" xfId="0" applyFont="1" applyFill="1" applyBorder="1" applyAlignment="1" applyProtection="1">
      <alignment horizontal="center" vertical="top"/>
      <protection hidden="1"/>
    </xf>
    <xf numFmtId="0" fontId="6" fillId="12" borderId="7" xfId="0" applyFont="1" applyFill="1" applyBorder="1" applyAlignment="1" applyProtection="1">
      <alignment vertical="top"/>
      <protection hidden="1"/>
    </xf>
    <xf numFmtId="0" fontId="8" fillId="12" borderId="7" xfId="0" applyFont="1" applyFill="1" applyBorder="1" applyAlignment="1" applyProtection="1">
      <alignment horizontal="center"/>
      <protection hidden="1"/>
    </xf>
    <xf numFmtId="0" fontId="6" fillId="12" borderId="8" xfId="0" applyFont="1" applyFill="1" applyBorder="1" applyAlignment="1" applyProtection="1">
      <alignment vertical="top"/>
      <protection hidden="1"/>
    </xf>
    <xf numFmtId="0" fontId="6" fillId="12" borderId="6" xfId="0" applyFont="1" applyFill="1" applyBorder="1" applyAlignment="1" applyProtection="1">
      <alignment vertical="top"/>
      <protection hidden="1"/>
    </xf>
    <xf numFmtId="0" fontId="6" fillId="0" borderId="10" xfId="0" applyFont="1" applyBorder="1" applyProtection="1">
      <protection hidden="1"/>
    </xf>
    <xf numFmtId="0" fontId="6" fillId="0" borderId="11" xfId="0" applyFont="1" applyBorder="1" applyProtection="1">
      <protection hidden="1"/>
    </xf>
    <xf numFmtId="0" fontId="6" fillId="0" borderId="4" xfId="0" applyFont="1" applyBorder="1" applyProtection="1">
      <protection hidden="1"/>
    </xf>
    <xf numFmtId="0" fontId="6" fillId="0" borderId="2" xfId="0" applyFont="1" applyBorder="1" applyProtection="1">
      <protection hidden="1"/>
    </xf>
    <xf numFmtId="0" fontId="5" fillId="14" borderId="13" xfId="0" applyFont="1" applyFill="1" applyBorder="1" applyAlignment="1" applyProtection="1">
      <alignment vertical="top" wrapText="1"/>
      <protection hidden="1"/>
    </xf>
    <xf numFmtId="0" fontId="5" fillId="14" borderId="5" xfId="0" applyFont="1" applyFill="1" applyBorder="1" applyAlignment="1" applyProtection="1">
      <alignment vertical="top" wrapText="1"/>
      <protection hidden="1"/>
    </xf>
    <xf numFmtId="0" fontId="5" fillId="14" borderId="8" xfId="0" applyFont="1" applyFill="1" applyBorder="1" applyAlignment="1" applyProtection="1">
      <alignment vertical="top" wrapText="1"/>
      <protection hidden="1"/>
    </xf>
    <xf numFmtId="0" fontId="5" fillId="14" borderId="6" xfId="0" applyFont="1" applyFill="1" applyBorder="1" applyAlignment="1" applyProtection="1">
      <alignment vertical="top" wrapText="1"/>
      <protection hidden="1"/>
    </xf>
    <xf numFmtId="0" fontId="6" fillId="0" borderId="0" xfId="2" applyFont="1" applyAlignment="1" applyProtection="1">
      <alignment horizontal="center" vertical="top" wrapText="1"/>
      <protection hidden="1"/>
    </xf>
    <xf numFmtId="0" fontId="5" fillId="14" borderId="7" xfId="0" applyFont="1" applyFill="1" applyBorder="1" applyAlignment="1" applyProtection="1">
      <alignment horizontal="center" vertical="top" wrapText="1"/>
      <protection hidden="1"/>
    </xf>
    <xf numFmtId="0" fontId="6" fillId="0" borderId="14" xfId="0" applyFont="1" applyBorder="1" applyAlignment="1" applyProtection="1">
      <alignment horizontal="center" vertical="top" wrapText="1"/>
      <protection hidden="1"/>
    </xf>
    <xf numFmtId="0" fontId="22" fillId="0" borderId="0" xfId="1" applyFont="1" applyAlignment="1" applyProtection="1">
      <alignment vertical="top" wrapText="1"/>
      <protection hidden="1"/>
    </xf>
    <xf numFmtId="0" fontId="22" fillId="0" borderId="0" xfId="1" applyFont="1" applyAlignment="1" applyProtection="1">
      <alignment vertical="top"/>
      <protection hidden="1"/>
    </xf>
    <xf numFmtId="0" fontId="22" fillId="0" borderId="0" xfId="2" applyFont="1" applyAlignment="1" applyProtection="1">
      <alignment vertical="top" wrapText="1"/>
      <protection hidden="1"/>
    </xf>
    <xf numFmtId="0" fontId="11" fillId="12" borderId="8" xfId="1" applyFont="1" applyFill="1" applyBorder="1" applyAlignment="1" applyProtection="1">
      <alignment horizontal="center" vertical="top"/>
      <protection hidden="1"/>
    </xf>
    <xf numFmtId="0" fontId="11" fillId="12" borderId="7" xfId="1" applyFont="1" applyFill="1" applyBorder="1" applyAlignment="1" applyProtection="1">
      <alignment horizontal="center" vertical="top"/>
      <protection hidden="1"/>
    </xf>
    <xf numFmtId="0" fontId="11" fillId="12" borderId="6" xfId="1" applyFont="1" applyFill="1" applyBorder="1" applyAlignment="1" applyProtection="1">
      <alignment horizontal="center" vertical="top"/>
      <protection hidden="1"/>
    </xf>
    <xf numFmtId="0" fontId="6" fillId="12" borderId="8" xfId="1" applyFont="1" applyFill="1" applyBorder="1" applyAlignment="1" applyProtection="1">
      <alignment vertical="top"/>
      <protection hidden="1"/>
    </xf>
    <xf numFmtId="0" fontId="6" fillId="12" borderId="6" xfId="1" applyFont="1" applyFill="1" applyBorder="1" applyAlignment="1" applyProtection="1">
      <alignment vertical="top"/>
      <protection hidden="1"/>
    </xf>
    <xf numFmtId="0" fontId="6" fillId="12" borderId="5" xfId="1" applyFont="1" applyFill="1" applyBorder="1" applyProtection="1">
      <protection hidden="1"/>
    </xf>
    <xf numFmtId="0" fontId="11" fillId="12" borderId="8" xfId="1" applyFont="1" applyFill="1" applyBorder="1" applyAlignment="1" applyProtection="1">
      <alignment vertical="top"/>
      <protection hidden="1"/>
    </xf>
    <xf numFmtId="0" fontId="11" fillId="12" borderId="6" xfId="1" applyFont="1" applyFill="1" applyBorder="1" applyAlignment="1" applyProtection="1">
      <alignment vertical="top"/>
      <protection hidden="1"/>
    </xf>
    <xf numFmtId="0" fontId="15" fillId="4" borderId="6" xfId="0" applyFont="1" applyFill="1" applyBorder="1" applyAlignment="1" applyProtection="1">
      <alignment horizontal="center" vertical="top"/>
      <protection hidden="1"/>
    </xf>
    <xf numFmtId="0" fontId="23" fillId="9" borderId="15" xfId="0" applyFont="1" applyFill="1" applyBorder="1" applyAlignment="1" applyProtection="1">
      <alignment vertical="top" wrapText="1"/>
      <protection hidden="1"/>
    </xf>
    <xf numFmtId="0" fontId="23" fillId="9" borderId="16" xfId="0" applyFont="1" applyFill="1" applyBorder="1" applyAlignment="1" applyProtection="1">
      <alignment vertical="top" wrapText="1"/>
      <protection hidden="1"/>
    </xf>
    <xf numFmtId="0" fontId="23" fillId="9" borderId="17" xfId="0" applyFont="1" applyFill="1" applyBorder="1" applyAlignment="1" applyProtection="1">
      <alignment vertical="top" wrapText="1"/>
      <protection hidden="1"/>
    </xf>
    <xf numFmtId="0" fontId="7" fillId="0" borderId="0" xfId="0" applyFont="1" applyAlignment="1" applyProtection="1">
      <alignment vertical="top"/>
      <protection hidden="1"/>
    </xf>
    <xf numFmtId="0" fontId="5" fillId="10" borderId="13" xfId="0" applyFont="1" applyFill="1" applyBorder="1" applyAlignment="1" applyProtection="1">
      <alignment vertical="top"/>
      <protection hidden="1"/>
    </xf>
    <xf numFmtId="0" fontId="6" fillId="0" borderId="9" xfId="0" applyFont="1" applyBorder="1" applyAlignment="1" applyProtection="1">
      <alignment horizontal="center"/>
      <protection hidden="1"/>
    </xf>
    <xf numFmtId="0" fontId="6" fillId="0" borderId="5" xfId="0" applyFont="1" applyBorder="1" applyAlignment="1" applyProtection="1">
      <alignment horizontal="center"/>
      <protection hidden="1"/>
    </xf>
    <xf numFmtId="0" fontId="25" fillId="0" borderId="9" xfId="0" applyFont="1" applyBorder="1" applyAlignment="1" applyProtection="1">
      <alignment horizontal="center"/>
      <protection hidden="1"/>
    </xf>
    <xf numFmtId="0" fontId="6" fillId="0" borderId="1" xfId="0" applyFont="1" applyBorder="1" applyAlignment="1" applyProtection="1">
      <alignment horizontal="center"/>
      <protection hidden="1"/>
    </xf>
    <xf numFmtId="0" fontId="8" fillId="12" borderId="8" xfId="0" applyFont="1" applyFill="1" applyBorder="1" applyProtection="1">
      <protection hidden="1"/>
    </xf>
    <xf numFmtId="0" fontId="8" fillId="12" borderId="7" xfId="0" applyFont="1" applyFill="1" applyBorder="1" applyAlignment="1" applyProtection="1">
      <alignment horizontal="center" vertical="top"/>
      <protection hidden="1"/>
    </xf>
    <xf numFmtId="0" fontId="8" fillId="12" borderId="6" xfId="0" applyFont="1" applyFill="1" applyBorder="1" applyAlignment="1" applyProtection="1">
      <alignment horizontal="center" vertical="top"/>
      <protection hidden="1"/>
    </xf>
    <xf numFmtId="0" fontId="9" fillId="4" borderId="0" xfId="0" applyFont="1" applyFill="1" applyAlignment="1" applyProtection="1">
      <alignment horizontal="left" vertical="top"/>
      <protection hidden="1"/>
    </xf>
    <xf numFmtId="0" fontId="6" fillId="0" borderId="0" xfId="0" applyFont="1" applyAlignment="1" applyProtection="1">
      <alignment vertical="top"/>
      <protection hidden="1"/>
    </xf>
    <xf numFmtId="0" fontId="8" fillId="0" borderId="0" xfId="0" applyFont="1" applyAlignment="1" applyProtection="1">
      <alignment vertical="top"/>
      <protection hidden="1"/>
    </xf>
    <xf numFmtId="0" fontId="5" fillId="10" borderId="13" xfId="0" applyFont="1" applyFill="1" applyBorder="1" applyAlignment="1" applyProtection="1">
      <alignment vertical="top" wrapText="1"/>
      <protection hidden="1"/>
    </xf>
    <xf numFmtId="0" fontId="5" fillId="10" borderId="12" xfId="0" applyFont="1" applyFill="1" applyBorder="1" applyAlignment="1" applyProtection="1">
      <alignment vertical="top"/>
      <protection hidden="1"/>
    </xf>
    <xf numFmtId="0" fontId="6" fillId="0" borderId="7" xfId="0" applyFont="1" applyBorder="1" applyAlignment="1" applyProtection="1">
      <alignment horizontal="center" vertical="top"/>
      <protection hidden="1"/>
    </xf>
    <xf numFmtId="0" fontId="26" fillId="0" borderId="7" xfId="0" applyFont="1" applyBorder="1" applyAlignment="1" applyProtection="1">
      <alignment vertical="top" wrapText="1" readingOrder="1"/>
      <protection hidden="1"/>
    </xf>
    <xf numFmtId="0" fontId="6" fillId="0" borderId="7" xfId="0" applyFont="1" applyBorder="1" applyAlignment="1" applyProtection="1">
      <alignment vertical="top"/>
      <protection hidden="1"/>
    </xf>
    <xf numFmtId="0" fontId="6" fillId="0" borderId="6" xfId="0" applyFont="1" applyBorder="1" applyAlignment="1" applyProtection="1">
      <alignment horizontal="center" vertical="top"/>
      <protection hidden="1"/>
    </xf>
    <xf numFmtId="0" fontId="6" fillId="0" borderId="0" xfId="0" applyFont="1" applyAlignment="1" applyProtection="1">
      <alignment horizontal="center" vertical="top"/>
      <protection hidden="1"/>
    </xf>
    <xf numFmtId="0" fontId="26" fillId="0" borderId="0" xfId="0" applyFont="1" applyAlignment="1" applyProtection="1">
      <alignment vertical="top" wrapText="1" readingOrder="1"/>
      <protection hidden="1"/>
    </xf>
    <xf numFmtId="0" fontId="6" fillId="0" borderId="11" xfId="0" applyFont="1" applyBorder="1" applyAlignment="1" applyProtection="1">
      <alignment horizontal="center" vertical="top"/>
      <protection hidden="1"/>
    </xf>
    <xf numFmtId="0" fontId="6" fillId="0" borderId="3" xfId="0" applyFont="1" applyBorder="1" applyAlignment="1" applyProtection="1">
      <alignment horizontal="center" vertical="top"/>
      <protection hidden="1"/>
    </xf>
    <xf numFmtId="0" fontId="26" fillId="0" borderId="3" xfId="0" applyFont="1" applyBorder="1" applyAlignment="1" applyProtection="1">
      <alignment vertical="top" wrapText="1" readingOrder="1"/>
      <protection hidden="1"/>
    </xf>
    <xf numFmtId="0" fontId="6" fillId="0" borderId="3" xfId="0" applyFont="1" applyBorder="1" applyAlignment="1" applyProtection="1">
      <alignment vertical="top"/>
      <protection hidden="1"/>
    </xf>
    <xf numFmtId="0" fontId="6" fillId="0" borderId="2" xfId="0" applyFont="1" applyBorder="1" applyAlignment="1" applyProtection="1">
      <alignment horizontal="center" vertical="top"/>
      <protection hidden="1"/>
    </xf>
    <xf numFmtId="0" fontId="6" fillId="0" borderId="7" xfId="0" applyFont="1" applyBorder="1" applyAlignment="1" applyProtection="1">
      <alignment vertical="top" wrapText="1" readingOrder="1"/>
      <protection hidden="1"/>
    </xf>
    <xf numFmtId="0" fontId="6" fillId="0" borderId="7" xfId="0" applyFont="1" applyBorder="1" applyAlignment="1" applyProtection="1">
      <alignment horizontal="left" vertical="top" readingOrder="1"/>
      <protection hidden="1"/>
    </xf>
    <xf numFmtId="0" fontId="6" fillId="0" borderId="0" xfId="0" applyFont="1" applyAlignment="1" applyProtection="1">
      <alignment vertical="top" wrapText="1" readingOrder="1"/>
      <protection hidden="1"/>
    </xf>
    <xf numFmtId="0" fontId="6" fillId="0" borderId="0" xfId="0" applyFont="1" applyAlignment="1" applyProtection="1">
      <alignment horizontal="left" vertical="top" readingOrder="1"/>
      <protection hidden="1"/>
    </xf>
    <xf numFmtId="0" fontId="25" fillId="0" borderId="11" xfId="0" applyFont="1" applyBorder="1" applyAlignment="1" applyProtection="1">
      <alignment horizontal="center" vertical="top"/>
      <protection hidden="1"/>
    </xf>
    <xf numFmtId="0" fontId="6" fillId="0" borderId="3" xfId="0" applyFont="1" applyBorder="1" applyAlignment="1" applyProtection="1">
      <alignment vertical="top" wrapText="1" readingOrder="1"/>
      <protection hidden="1"/>
    </xf>
    <xf numFmtId="0" fontId="24" fillId="0" borderId="0" xfId="0" applyFont="1" applyProtection="1">
      <protection hidden="1"/>
    </xf>
    <xf numFmtId="0" fontId="32" fillId="4" borderId="7" xfId="0" applyFont="1" applyFill="1" applyBorder="1" applyAlignment="1" applyProtection="1">
      <alignment horizontal="left" vertical="top" shrinkToFit="1"/>
      <protection hidden="1"/>
    </xf>
    <xf numFmtId="0" fontId="22" fillId="4" borderId="7" xfId="0" applyFont="1" applyFill="1" applyBorder="1" applyAlignment="1" applyProtection="1">
      <alignment shrinkToFit="1"/>
      <protection hidden="1"/>
    </xf>
    <xf numFmtId="0" fontId="22" fillId="0" borderId="0" xfId="0" applyFont="1" applyAlignment="1" applyProtection="1">
      <alignment vertical="top"/>
      <protection hidden="1"/>
    </xf>
    <xf numFmtId="14" fontId="35" fillId="4" borderId="0" xfId="0" applyNumberFormat="1" applyFont="1" applyFill="1" applyAlignment="1" applyProtection="1">
      <alignment vertical="top" shrinkToFit="1"/>
      <protection hidden="1"/>
    </xf>
    <xf numFmtId="0" fontId="22" fillId="4" borderId="0" xfId="0" applyFont="1" applyFill="1" applyAlignment="1" applyProtection="1">
      <alignment shrinkToFit="1"/>
      <protection hidden="1"/>
    </xf>
    <xf numFmtId="0" fontId="22" fillId="4" borderId="5" xfId="0" applyFont="1" applyFill="1" applyBorder="1" applyAlignment="1" applyProtection="1">
      <alignment horizontal="center" shrinkToFit="1"/>
      <protection hidden="1"/>
    </xf>
    <xf numFmtId="49" fontId="22" fillId="4" borderId="0" xfId="0" applyNumberFormat="1" applyFont="1" applyFill="1" applyAlignment="1" applyProtection="1">
      <alignment vertical="top"/>
      <protection hidden="1"/>
    </xf>
    <xf numFmtId="0" fontId="9" fillId="4" borderId="0" xfId="0" applyFont="1" applyFill="1" applyAlignment="1" applyProtection="1">
      <alignment vertical="top" shrinkToFit="1"/>
      <protection hidden="1"/>
    </xf>
    <xf numFmtId="0" fontId="22" fillId="4" borderId="0" xfId="0" applyFont="1" applyFill="1" applyAlignment="1" applyProtection="1">
      <alignment horizontal="right" shrinkToFit="1"/>
      <protection hidden="1"/>
    </xf>
    <xf numFmtId="0" fontId="22" fillId="5" borderId="9" xfId="0" applyFont="1" applyFill="1" applyBorder="1" applyAlignment="1" applyProtection="1">
      <alignment horizontal="center" shrinkToFit="1"/>
      <protection locked="0"/>
    </xf>
    <xf numFmtId="0" fontId="33" fillId="4" borderId="0" xfId="5" applyNumberFormat="1" applyFont="1" applyFill="1" applyBorder="1" applyAlignment="1" applyProtection="1">
      <alignment horizontal="right" vertical="top"/>
      <protection hidden="1"/>
    </xf>
    <xf numFmtId="0" fontId="22" fillId="4" borderId="4" xfId="0" applyFont="1" applyFill="1" applyBorder="1" applyAlignment="1" applyProtection="1">
      <alignment horizontal="right" vertical="top"/>
      <protection hidden="1"/>
    </xf>
    <xf numFmtId="0" fontId="22" fillId="4" borderId="3" xfId="0" applyFont="1" applyFill="1" applyBorder="1" applyAlignment="1" applyProtection="1">
      <alignment horizontal="right" vertical="top"/>
      <protection hidden="1"/>
    </xf>
    <xf numFmtId="0" fontId="34" fillId="4" borderId="3" xfId="0" applyFont="1" applyFill="1" applyBorder="1" applyAlignment="1" applyProtection="1">
      <alignment vertical="top"/>
      <protection hidden="1"/>
    </xf>
    <xf numFmtId="0" fontId="34" fillId="4" borderId="4" xfId="0" applyFont="1" applyFill="1" applyBorder="1" applyAlignment="1" applyProtection="1">
      <alignment vertical="top"/>
      <protection hidden="1"/>
    </xf>
    <xf numFmtId="0" fontId="22" fillId="4" borderId="7" xfId="0" applyFont="1" applyFill="1" applyBorder="1" applyAlignment="1" applyProtection="1">
      <alignment vertical="top"/>
      <protection hidden="1"/>
    </xf>
    <xf numFmtId="0" fontId="22" fillId="4" borderId="4" xfId="0" applyFont="1" applyFill="1" applyBorder="1" applyAlignment="1" applyProtection="1">
      <alignment vertical="top"/>
      <protection hidden="1"/>
    </xf>
    <xf numFmtId="0" fontId="22" fillId="0" borderId="0" xfId="0" quotePrefix="1" applyFont="1" applyAlignment="1" applyProtection="1">
      <alignment vertical="top"/>
      <protection hidden="1"/>
    </xf>
    <xf numFmtId="0" fontId="22" fillId="0" borderId="0" xfId="0" applyFont="1" applyAlignment="1" applyProtection="1">
      <alignment vertical="top" wrapText="1"/>
      <protection hidden="1"/>
    </xf>
    <xf numFmtId="0" fontId="38" fillId="0" borderId="0" xfId="1" applyFont="1" applyAlignment="1" applyProtection="1">
      <alignment vertical="top"/>
      <protection hidden="1"/>
    </xf>
    <xf numFmtId="0" fontId="39" fillId="0" borderId="0" xfId="1" applyFont="1" applyAlignment="1" applyProtection="1">
      <alignment vertical="top"/>
      <protection hidden="1"/>
    </xf>
    <xf numFmtId="0" fontId="22" fillId="0" borderId="3" xfId="0" applyFont="1" applyBorder="1" applyAlignment="1" applyProtection="1">
      <alignment vertical="top"/>
      <protection locked="0"/>
    </xf>
    <xf numFmtId="0" fontId="6" fillId="4" borderId="13" xfId="2" applyFont="1" applyFill="1" applyBorder="1" applyAlignment="1" applyProtection="1">
      <alignment vertical="top" wrapText="1"/>
      <protection hidden="1"/>
    </xf>
    <xf numFmtId="0" fontId="6" fillId="4" borderId="5" xfId="2" applyFont="1" applyFill="1" applyBorder="1" applyAlignment="1" applyProtection="1">
      <alignment vertical="top" wrapText="1"/>
      <protection hidden="1"/>
    </xf>
    <xf numFmtId="0" fontId="6" fillId="4" borderId="12" xfId="2" applyFont="1" applyFill="1" applyBorder="1" applyAlignment="1" applyProtection="1">
      <alignment vertical="top" wrapText="1"/>
      <protection hidden="1"/>
    </xf>
    <xf numFmtId="0" fontId="6" fillId="4" borderId="9" xfId="2" applyFont="1" applyFill="1" applyBorder="1" applyAlignment="1" applyProtection="1">
      <alignment vertical="top" wrapText="1"/>
      <protection hidden="1"/>
    </xf>
    <xf numFmtId="0" fontId="6" fillId="4" borderId="2" xfId="2" applyFont="1" applyFill="1" applyBorder="1" applyAlignment="1" applyProtection="1">
      <alignment vertical="top" wrapText="1"/>
      <protection hidden="1"/>
    </xf>
    <xf numFmtId="0" fontId="6" fillId="4" borderId="1" xfId="2" applyFont="1" applyFill="1" applyBorder="1" applyAlignment="1" applyProtection="1">
      <alignment vertical="top" wrapText="1"/>
      <protection hidden="1"/>
    </xf>
    <xf numFmtId="0" fontId="22" fillId="4" borderId="0" xfId="0" applyFont="1" applyFill="1" applyAlignment="1" applyProtection="1">
      <alignment horizontal="center" vertical="top" wrapText="1"/>
      <protection hidden="1"/>
    </xf>
    <xf numFmtId="0" fontId="24" fillId="0" borderId="0" xfId="0" applyFont="1" applyProtection="1">
      <protection locked="0"/>
    </xf>
    <xf numFmtId="49" fontId="22" fillId="0" borderId="0" xfId="0" applyNumberFormat="1" applyFont="1" applyAlignment="1" applyProtection="1">
      <alignment vertical="top" shrinkToFit="1"/>
      <protection locked="0"/>
    </xf>
    <xf numFmtId="0" fontId="22" fillId="0" borderId="0" xfId="0" applyFont="1" applyAlignment="1" applyProtection="1">
      <alignment vertical="top" shrinkToFit="1"/>
      <protection locked="0"/>
    </xf>
    <xf numFmtId="0" fontId="22" fillId="0" borderId="10" xfId="0" applyFont="1" applyBorder="1" applyAlignment="1" applyProtection="1">
      <alignment vertical="top" shrinkToFit="1"/>
      <protection locked="0"/>
    </xf>
    <xf numFmtId="0" fontId="24" fillId="0" borderId="10" xfId="0" applyFont="1" applyBorder="1" applyAlignment="1" applyProtection="1">
      <alignment shrinkToFit="1"/>
      <protection locked="0"/>
    </xf>
    <xf numFmtId="0" fontId="24" fillId="0" borderId="0" xfId="0" applyFont="1" applyAlignment="1" applyProtection="1">
      <alignment shrinkToFit="1"/>
      <protection locked="0"/>
    </xf>
    <xf numFmtId="49" fontId="24" fillId="0" borderId="0" xfId="0" applyNumberFormat="1" applyFont="1" applyAlignment="1" applyProtection="1">
      <alignment shrinkToFit="1"/>
      <protection locked="0"/>
    </xf>
    <xf numFmtId="0" fontId="22" fillId="4" borderId="0" xfId="0" applyFont="1" applyFill="1" applyAlignment="1" applyProtection="1">
      <alignment vertical="top" shrinkToFit="1"/>
      <protection hidden="1"/>
    </xf>
    <xf numFmtId="1" fontId="22" fillId="0" borderId="0" xfId="0" applyNumberFormat="1" applyFont="1" applyAlignment="1" applyProtection="1">
      <alignment vertical="top" wrapText="1"/>
      <protection locked="0"/>
    </xf>
    <xf numFmtId="0" fontId="6" fillId="0" borderId="7" xfId="2" applyFont="1" applyBorder="1" applyAlignment="1" applyProtection="1">
      <alignment horizontal="center" vertical="top" wrapText="1"/>
      <protection hidden="1"/>
    </xf>
    <xf numFmtId="0" fontId="6" fillId="0" borderId="3" xfId="2" applyFont="1" applyBorder="1" applyAlignment="1" applyProtection="1">
      <alignment horizontal="center" vertical="top" wrapText="1"/>
      <protection hidden="1"/>
    </xf>
    <xf numFmtId="0" fontId="22" fillId="4" borderId="9" xfId="0" applyFont="1" applyFill="1" applyBorder="1" applyAlignment="1" applyProtection="1">
      <alignment horizontal="center" shrinkToFit="1"/>
      <protection hidden="1"/>
    </xf>
    <xf numFmtId="0" fontId="34" fillId="4" borderId="1" xfId="0" applyFont="1" applyFill="1" applyBorder="1" applyAlignment="1" applyProtection="1">
      <alignment vertical="top"/>
      <protection hidden="1"/>
    </xf>
    <xf numFmtId="0" fontId="22" fillId="4" borderId="2" xfId="0" applyFont="1" applyFill="1" applyBorder="1" applyAlignment="1" applyProtection="1">
      <alignment vertical="top"/>
      <protection hidden="1"/>
    </xf>
    <xf numFmtId="0" fontId="24" fillId="4" borderId="5" xfId="0" applyFont="1" applyFill="1" applyBorder="1" applyAlignment="1" applyProtection="1">
      <alignment horizontal="center"/>
      <protection hidden="1"/>
    </xf>
    <xf numFmtId="0" fontId="6" fillId="0" borderId="6" xfId="2" applyFont="1" applyBorder="1" applyAlignment="1" applyProtection="1">
      <alignment horizontal="center" vertical="top" wrapText="1"/>
      <protection hidden="1"/>
    </xf>
    <xf numFmtId="0" fontId="6" fillId="0" borderId="11" xfId="2" applyFont="1" applyBorder="1" applyAlignment="1" applyProtection="1">
      <alignment horizontal="center" vertical="top" wrapText="1"/>
      <protection hidden="1"/>
    </xf>
    <xf numFmtId="0" fontId="22" fillId="4" borderId="13" xfId="0" applyFont="1" applyFill="1" applyBorder="1" applyAlignment="1" applyProtection="1">
      <alignment horizontal="center" vertical="top" wrapText="1"/>
      <protection hidden="1"/>
    </xf>
    <xf numFmtId="0" fontId="33" fillId="4" borderId="3" xfId="5" applyFont="1" applyFill="1" applyBorder="1" applyAlignment="1" applyProtection="1">
      <alignment horizontal="right" vertical="top"/>
      <protection hidden="1"/>
    </xf>
    <xf numFmtId="0" fontId="34" fillId="4" borderId="10" xfId="0" applyFont="1" applyFill="1" applyBorder="1" applyAlignment="1" applyProtection="1">
      <alignment horizontal="right" vertical="top"/>
      <protection hidden="1"/>
    </xf>
    <xf numFmtId="0" fontId="22" fillId="5" borderId="0" xfId="0" applyFont="1" applyFill="1" applyAlignment="1" applyProtection="1">
      <alignment shrinkToFit="1"/>
      <protection locked="0"/>
    </xf>
    <xf numFmtId="0" fontId="6" fillId="0" borderId="3" xfId="0" applyFont="1" applyBorder="1" applyProtection="1">
      <protection hidden="1"/>
    </xf>
    <xf numFmtId="0" fontId="6" fillId="13" borderId="8" xfId="0" applyFont="1" applyFill="1" applyBorder="1" applyProtection="1">
      <protection hidden="1"/>
    </xf>
    <xf numFmtId="0" fontId="6" fillId="13" borderId="7" xfId="0" applyFont="1" applyFill="1" applyBorder="1" applyProtection="1">
      <protection hidden="1"/>
    </xf>
    <xf numFmtId="0" fontId="6" fillId="13" borderId="6" xfId="0" applyFont="1" applyFill="1" applyBorder="1" applyProtection="1">
      <protection hidden="1"/>
    </xf>
    <xf numFmtId="0" fontId="6" fillId="0" borderId="0" xfId="0" applyFont="1" applyProtection="1">
      <protection hidden="1"/>
    </xf>
    <xf numFmtId="0" fontId="6" fillId="2" borderId="11" xfId="0" applyFont="1" applyFill="1" applyBorder="1" applyProtection="1">
      <protection hidden="1"/>
    </xf>
    <xf numFmtId="0" fontId="6" fillId="2" borderId="2" xfId="0" applyFont="1" applyFill="1" applyBorder="1" applyProtection="1">
      <protection hidden="1"/>
    </xf>
    <xf numFmtId="0" fontId="22" fillId="4" borderId="3" xfId="0" applyFont="1" applyFill="1" applyBorder="1" applyAlignment="1" applyProtection="1">
      <alignment vertical="top"/>
      <protection hidden="1"/>
    </xf>
    <xf numFmtId="0" fontId="33" fillId="4" borderId="13" xfId="5" applyFont="1" applyFill="1" applyBorder="1" applyAlignment="1" applyProtection="1">
      <alignment vertical="top" wrapText="1"/>
      <protection hidden="1"/>
    </xf>
    <xf numFmtId="0" fontId="22" fillId="4" borderId="13" xfId="0" applyFont="1" applyFill="1" applyBorder="1" applyAlignment="1" applyProtection="1">
      <alignment vertical="top" wrapText="1"/>
      <protection hidden="1"/>
    </xf>
    <xf numFmtId="0" fontId="33" fillId="4" borderId="0" xfId="5" applyFont="1" applyFill="1" applyBorder="1" applyAlignment="1" applyProtection="1">
      <alignment horizontal="right" vertical="top"/>
      <protection hidden="1"/>
    </xf>
    <xf numFmtId="0" fontId="22" fillId="6" borderId="0" xfId="4" applyFont="1" applyFill="1" applyAlignment="1" applyProtection="1">
      <alignment shrinkToFit="1"/>
      <protection hidden="1"/>
    </xf>
    <xf numFmtId="0" fontId="22" fillId="4" borderId="10" xfId="0" applyFont="1" applyFill="1" applyBorder="1" applyAlignment="1" applyProtection="1">
      <alignment horizontal="right" vertical="top"/>
      <protection hidden="1"/>
    </xf>
    <xf numFmtId="0" fontId="22" fillId="4" borderId="0" xfId="0" applyFont="1" applyFill="1" applyAlignment="1" applyProtection="1">
      <alignment horizontal="right" vertical="top"/>
      <protection hidden="1"/>
    </xf>
    <xf numFmtId="0" fontId="22" fillId="0" borderId="0" xfId="0" applyFont="1" applyAlignment="1" applyProtection="1">
      <alignment vertical="top"/>
      <protection locked="0"/>
    </xf>
    <xf numFmtId="0" fontId="22" fillId="4" borderId="10" xfId="0" applyFont="1" applyFill="1" applyBorder="1" applyAlignment="1" applyProtection="1">
      <alignment vertical="top"/>
      <protection hidden="1"/>
    </xf>
    <xf numFmtId="0" fontId="22" fillId="4" borderId="0" xfId="0" applyFont="1" applyFill="1" applyAlignment="1" applyProtection="1">
      <alignment vertical="top"/>
      <protection hidden="1"/>
    </xf>
    <xf numFmtId="0" fontId="22" fillId="4" borderId="7" xfId="0" applyFont="1" applyFill="1" applyBorder="1" applyAlignment="1" applyProtection="1">
      <alignment vertical="top" wrapText="1"/>
      <protection hidden="1"/>
    </xf>
    <xf numFmtId="0" fontId="22" fillId="4" borderId="6" xfId="0" applyFont="1" applyFill="1" applyBorder="1" applyAlignment="1" applyProtection="1">
      <alignment vertical="top" wrapText="1"/>
      <protection hidden="1"/>
    </xf>
    <xf numFmtId="0" fontId="34" fillId="4" borderId="0" xfId="0" applyFont="1" applyFill="1" applyAlignment="1" applyProtection="1">
      <alignment vertical="top"/>
      <protection hidden="1"/>
    </xf>
    <xf numFmtId="49" fontId="22" fillId="0" borderId="10" xfId="0" applyNumberFormat="1" applyFont="1" applyBorder="1" applyAlignment="1" applyProtection="1">
      <alignment vertical="top" shrinkToFit="1"/>
      <protection locked="0"/>
    </xf>
    <xf numFmtId="49" fontId="24" fillId="0" borderId="10" xfId="0" applyNumberFormat="1" applyFont="1" applyBorder="1" applyAlignment="1" applyProtection="1">
      <alignment shrinkToFit="1"/>
      <protection locked="0"/>
    </xf>
    <xf numFmtId="0" fontId="22" fillId="0" borderId="0" xfId="0" applyFont="1" applyProtection="1">
      <protection hidden="1"/>
    </xf>
    <xf numFmtId="0" fontId="6" fillId="0" borderId="8" xfId="2" applyFont="1" applyBorder="1" applyAlignment="1" applyProtection="1">
      <alignment horizontal="center" vertical="top" wrapText="1"/>
      <protection hidden="1"/>
    </xf>
    <xf numFmtId="0" fontId="6" fillId="0" borderId="5" xfId="2" applyFont="1" applyBorder="1" applyAlignment="1" applyProtection="1">
      <alignment horizontal="center" vertical="top" wrapText="1"/>
      <protection hidden="1"/>
    </xf>
    <xf numFmtId="0" fontId="6" fillId="0" borderId="14" xfId="2" applyFont="1" applyBorder="1" applyAlignment="1" applyProtection="1">
      <alignment horizontal="center" vertical="top" wrapText="1"/>
      <protection hidden="1"/>
    </xf>
    <xf numFmtId="0" fontId="6" fillId="0" borderId="4" xfId="2" applyFont="1" applyBorder="1" applyAlignment="1" applyProtection="1">
      <alignment horizontal="center" vertical="top" wrapText="1"/>
      <protection hidden="1"/>
    </xf>
    <xf numFmtId="0" fontId="6" fillId="4" borderId="9" xfId="2" applyFont="1" applyFill="1" applyBorder="1" applyAlignment="1" applyProtection="1">
      <alignment horizontal="center" vertical="top" wrapText="1"/>
      <protection hidden="1"/>
    </xf>
    <xf numFmtId="0" fontId="28" fillId="15" borderId="8" xfId="6" applyFont="1" applyFill="1" applyBorder="1" applyAlignment="1" applyProtection="1">
      <alignment horizontal="center"/>
      <protection hidden="1"/>
    </xf>
    <xf numFmtId="0" fontId="30" fillId="15" borderId="7" xfId="6" applyFont="1" applyFill="1" applyBorder="1" applyAlignment="1" applyProtection="1">
      <alignment horizontal="center"/>
      <protection hidden="1"/>
    </xf>
    <xf numFmtId="0" fontId="30" fillId="15" borderId="6" xfId="6" applyFont="1" applyFill="1" applyBorder="1" applyAlignment="1" applyProtection="1">
      <alignment horizontal="center"/>
      <protection hidden="1"/>
    </xf>
    <xf numFmtId="0" fontId="28" fillId="0" borderId="10" xfId="6" applyFont="1" applyBorder="1" applyAlignment="1" applyProtection="1">
      <alignment horizontal="right"/>
      <protection hidden="1"/>
    </xf>
    <xf numFmtId="0" fontId="28" fillId="0" borderId="0" xfId="6" applyFont="1" applyProtection="1">
      <protection hidden="1"/>
    </xf>
    <xf numFmtId="0" fontId="28" fillId="0" borderId="11" xfId="6" applyFont="1" applyBorder="1" applyProtection="1">
      <protection hidden="1"/>
    </xf>
    <xf numFmtId="0" fontId="28" fillId="0" borderId="4" xfId="6" applyFont="1" applyBorder="1" applyAlignment="1" applyProtection="1">
      <alignment horizontal="right"/>
      <protection hidden="1"/>
    </xf>
    <xf numFmtId="0" fontId="28" fillId="0" borderId="3" xfId="6" applyFont="1" applyBorder="1" applyProtection="1">
      <protection hidden="1"/>
    </xf>
    <xf numFmtId="0" fontId="28" fillId="0" borderId="2" xfId="6" applyFont="1" applyBorder="1" applyProtection="1">
      <protection hidden="1"/>
    </xf>
    <xf numFmtId="0" fontId="30" fillId="0" borderId="10" xfId="3" applyFont="1" applyBorder="1" applyAlignment="1" applyProtection="1">
      <alignment wrapText="1"/>
      <protection hidden="1"/>
    </xf>
    <xf numFmtId="0" fontId="30" fillId="0" borderId="11" xfId="3" applyFont="1" applyBorder="1" applyAlignment="1" applyProtection="1">
      <alignment wrapText="1"/>
      <protection hidden="1"/>
    </xf>
    <xf numFmtId="0" fontId="22" fillId="0" borderId="19" xfId="0" applyFont="1" applyBorder="1" applyAlignment="1" applyProtection="1">
      <alignment vertical="top"/>
      <protection hidden="1"/>
    </xf>
    <xf numFmtId="0" fontId="22" fillId="0" borderId="20" xfId="0" applyFont="1" applyBorder="1" applyAlignment="1" applyProtection="1">
      <alignment vertical="top"/>
      <protection hidden="1"/>
    </xf>
    <xf numFmtId="0" fontId="22" fillId="0" borderId="20" xfId="1" applyFont="1" applyBorder="1" applyAlignment="1" applyProtection="1">
      <alignment vertical="top"/>
      <protection hidden="1"/>
    </xf>
    <xf numFmtId="0" fontId="22" fillId="0" borderId="20" xfId="0" applyFont="1" applyBorder="1" applyAlignment="1" applyProtection="1">
      <alignment vertical="top" wrapText="1"/>
      <protection hidden="1"/>
    </xf>
    <xf numFmtId="0" fontId="22" fillId="0" borderId="19" xfId="0" applyFont="1" applyBorder="1" applyAlignment="1" applyProtection="1">
      <alignment vertical="top" shrinkToFit="1"/>
      <protection hidden="1"/>
    </xf>
    <xf numFmtId="0" fontId="24" fillId="0" borderId="21" xfId="0" applyFont="1" applyBorder="1" applyAlignment="1" applyProtection="1">
      <alignment vertical="top" shrinkToFit="1"/>
      <protection hidden="1"/>
    </xf>
    <xf numFmtId="0" fontId="24" fillId="0" borderId="22" xfId="0" applyFont="1" applyBorder="1" applyAlignment="1" applyProtection="1">
      <alignment vertical="top"/>
      <protection hidden="1"/>
    </xf>
    <xf numFmtId="0" fontId="24" fillId="0" borderId="22" xfId="0" applyFont="1" applyBorder="1" applyAlignment="1" applyProtection="1">
      <alignment vertical="top" wrapText="1"/>
      <protection hidden="1"/>
    </xf>
    <xf numFmtId="0" fontId="24" fillId="0" borderId="23" xfId="0" applyFont="1" applyBorder="1" applyAlignment="1" applyProtection="1">
      <alignment vertical="top" wrapText="1"/>
      <protection hidden="1"/>
    </xf>
    <xf numFmtId="0" fontId="22" fillId="0" borderId="20" xfId="1" applyFont="1" applyBorder="1" applyAlignment="1" applyProtection="1">
      <alignment vertical="top" wrapText="1"/>
      <protection hidden="1"/>
    </xf>
    <xf numFmtId="0" fontId="22" fillId="0" borderId="19" xfId="1" applyFont="1" applyBorder="1" applyAlignment="1" applyProtection="1">
      <alignment vertical="top"/>
      <protection hidden="1"/>
    </xf>
    <xf numFmtId="0" fontId="17" fillId="4" borderId="3" xfId="0" applyFont="1" applyFill="1" applyBorder="1" applyAlignment="1" applyProtection="1">
      <alignment horizontal="center" vertical="top"/>
      <protection hidden="1"/>
    </xf>
    <xf numFmtId="0" fontId="8" fillId="0" borderId="0" xfId="0" applyFont="1"/>
    <xf numFmtId="0" fontId="40" fillId="0" borderId="0" xfId="0" applyFont="1"/>
    <xf numFmtId="0" fontId="37" fillId="0" borderId="9" xfId="0" applyFont="1" applyBorder="1" applyAlignment="1" applyProtection="1">
      <alignment horizontal="center" vertical="center"/>
      <protection hidden="1"/>
    </xf>
    <xf numFmtId="0" fontId="24" fillId="7" borderId="22" xfId="1" applyFont="1" applyFill="1" applyBorder="1" applyAlignment="1">
      <alignment vertical="top" wrapText="1"/>
    </xf>
    <xf numFmtId="0" fontId="24" fillId="16" borderId="22" xfId="0" applyFont="1" applyFill="1" applyBorder="1" applyAlignment="1">
      <alignment vertical="top" wrapText="1"/>
    </xf>
    <xf numFmtId="0" fontId="24" fillId="7" borderId="24" xfId="0" applyFont="1" applyFill="1" applyBorder="1" applyAlignment="1">
      <alignment vertical="top" wrapText="1"/>
    </xf>
    <xf numFmtId="0" fontId="6" fillId="0" borderId="8" xfId="1" applyFont="1" applyBorder="1" applyProtection="1">
      <protection hidden="1"/>
    </xf>
    <xf numFmtId="0" fontId="6" fillId="0" borderId="6" xfId="1" applyFont="1" applyBorder="1" applyProtection="1">
      <protection hidden="1"/>
    </xf>
    <xf numFmtId="0" fontId="24" fillId="0" borderId="21" xfId="0" applyFont="1" applyBorder="1" applyAlignment="1">
      <alignment vertical="top"/>
    </xf>
    <xf numFmtId="0" fontId="24" fillId="0" borderId="22" xfId="1" applyFont="1" applyBorder="1" applyAlignment="1">
      <alignment vertical="top" wrapText="1"/>
    </xf>
    <xf numFmtId="0" fontId="26" fillId="0" borderId="10" xfId="0" applyFont="1" applyBorder="1" applyAlignment="1" applyProtection="1">
      <alignment vertical="center"/>
      <protection hidden="1"/>
    </xf>
    <xf numFmtId="0" fontId="26" fillId="0" borderId="0" xfId="0" applyFont="1" applyAlignment="1" applyProtection="1">
      <alignment horizontal="center" vertical="center"/>
      <protection hidden="1"/>
    </xf>
    <xf numFmtId="0" fontId="8" fillId="2" borderId="0" xfId="0" applyFont="1" applyFill="1" applyProtection="1">
      <protection hidden="1"/>
    </xf>
    <xf numFmtId="0" fontId="26" fillId="0" borderId="4" xfId="0" applyFont="1" applyBorder="1" applyAlignment="1" applyProtection="1">
      <alignment vertical="center"/>
      <protection hidden="1"/>
    </xf>
    <xf numFmtId="0" fontId="8" fillId="2" borderId="3" xfId="0" applyFont="1" applyFill="1" applyBorder="1" applyProtection="1">
      <protection hidden="1"/>
    </xf>
    <xf numFmtId="0" fontId="26" fillId="0" borderId="3" xfId="0" applyFont="1" applyBorder="1" applyAlignment="1" applyProtection="1">
      <alignment horizontal="center" vertical="center"/>
      <protection hidden="1"/>
    </xf>
    <xf numFmtId="0" fontId="20" fillId="0" borderId="0" xfId="0" applyFont="1" applyProtection="1">
      <protection hidden="1"/>
    </xf>
    <xf numFmtId="0" fontId="42" fillId="12" borderId="14" xfId="0" applyFont="1" applyFill="1" applyBorder="1"/>
    <xf numFmtId="0" fontId="42" fillId="12" borderId="18" xfId="0" applyFont="1" applyFill="1" applyBorder="1"/>
    <xf numFmtId="0" fontId="20" fillId="12" borderId="18" xfId="0" applyFont="1" applyFill="1" applyBorder="1" applyAlignment="1" applyProtection="1">
      <alignment vertical="top"/>
      <protection hidden="1"/>
    </xf>
    <xf numFmtId="0" fontId="42" fillId="12" borderId="12" xfId="0" applyFont="1" applyFill="1" applyBorder="1"/>
    <xf numFmtId="0" fontId="20" fillId="0" borderId="10" xfId="0" applyFont="1" applyBorder="1"/>
    <xf numFmtId="0" fontId="42" fillId="0" borderId="0" xfId="0" applyFont="1"/>
    <xf numFmtId="0" fontId="42" fillId="0" borderId="11" xfId="0" applyFont="1" applyBorder="1"/>
    <xf numFmtId="0" fontId="20" fillId="0" borderId="10" xfId="0" applyFont="1" applyBorder="1" applyProtection="1">
      <protection hidden="1"/>
    </xf>
    <xf numFmtId="0" fontId="20" fillId="0" borderId="11" xfId="0" applyFont="1" applyBorder="1" applyProtection="1">
      <protection hidden="1"/>
    </xf>
    <xf numFmtId="0" fontId="20" fillId="0" borderId="0" xfId="0" applyFont="1"/>
    <xf numFmtId="0" fontId="42" fillId="0" borderId="10" xfId="0" applyFont="1" applyBorder="1"/>
    <xf numFmtId="0" fontId="20" fillId="0" borderId="8" xfId="0" applyFont="1" applyBorder="1"/>
    <xf numFmtId="0" fontId="42" fillId="0" borderId="7" xfId="0" applyFont="1" applyBorder="1"/>
    <xf numFmtId="0" fontId="20" fillId="0" borderId="7" xfId="0" applyFont="1" applyBorder="1" applyProtection="1">
      <protection hidden="1"/>
    </xf>
    <xf numFmtId="0" fontId="42" fillId="0" borderId="6" xfId="0" applyFont="1" applyBorder="1"/>
    <xf numFmtId="0" fontId="20" fillId="0" borderId="4" xfId="0" applyFont="1" applyBorder="1"/>
    <xf numFmtId="0" fontId="42" fillId="0" borderId="3" xfId="0" applyFont="1" applyBorder="1"/>
    <xf numFmtId="0" fontId="20" fillId="0" borderId="3" xfId="0" applyFont="1" applyBorder="1" applyProtection="1">
      <protection hidden="1"/>
    </xf>
    <xf numFmtId="0" fontId="42" fillId="0" borderId="2" xfId="0" applyFont="1" applyBorder="1"/>
    <xf numFmtId="0" fontId="20" fillId="0" borderId="3" xfId="0" applyFont="1" applyBorder="1"/>
    <xf numFmtId="0" fontId="8" fillId="0" borderId="8" xfId="0" applyFont="1" applyBorder="1"/>
    <xf numFmtId="0" fontId="8" fillId="0" borderId="7" xfId="0" applyFont="1" applyBorder="1"/>
    <xf numFmtId="0" fontId="6" fillId="0" borderId="7" xfId="0" applyFont="1" applyBorder="1" applyProtection="1">
      <protection hidden="1"/>
    </xf>
    <xf numFmtId="0" fontId="6" fillId="0" borderId="6" xfId="0" applyFont="1" applyBorder="1" applyProtection="1">
      <protection hidden="1"/>
    </xf>
    <xf numFmtId="0" fontId="8" fillId="0" borderId="10" xfId="0" applyFont="1" applyBorder="1"/>
    <xf numFmtId="0" fontId="43" fillId="0" borderId="10" xfId="8" applyFont="1" applyBorder="1"/>
    <xf numFmtId="0" fontId="43" fillId="0" borderId="0" xfId="8" applyFont="1"/>
    <xf numFmtId="0" fontId="41" fillId="0" borderId="0" xfId="8" applyFont="1"/>
    <xf numFmtId="0" fontId="40" fillId="0" borderId="10" xfId="0" applyFont="1" applyBorder="1"/>
    <xf numFmtId="0" fontId="6" fillId="0" borderId="0" xfId="0" applyFont="1"/>
    <xf numFmtId="0" fontId="44" fillId="0" borderId="10" xfId="0" applyFont="1" applyBorder="1"/>
    <xf numFmtId="0" fontId="8" fillId="0" borderId="3" xfId="0" applyFont="1" applyBorder="1"/>
    <xf numFmtId="0" fontId="8" fillId="2" borderId="2" xfId="0" applyFont="1" applyFill="1" applyBorder="1"/>
    <xf numFmtId="0" fontId="40" fillId="0" borderId="0" xfId="0" applyFont="1" applyProtection="1">
      <protection hidden="1"/>
    </xf>
    <xf numFmtId="0" fontId="8" fillId="0" borderId="4" xfId="0" applyFont="1" applyBorder="1"/>
    <xf numFmtId="0" fontId="8" fillId="0" borderId="6" xfId="0" applyFont="1" applyBorder="1"/>
    <xf numFmtId="0" fontId="8" fillId="0" borderId="11" xfId="0" applyFont="1" applyBorder="1"/>
    <xf numFmtId="0" fontId="41" fillId="0" borderId="0" xfId="7" applyFont="1"/>
    <xf numFmtId="0" fontId="45" fillId="0" borderId="0" xfId="9" applyFont="1" applyAlignment="1">
      <alignment wrapText="1"/>
    </xf>
    <xf numFmtId="0" fontId="40" fillId="0" borderId="11" xfId="0" applyFont="1" applyBorder="1"/>
    <xf numFmtId="0" fontId="6" fillId="0" borderId="10" xfId="0" applyFont="1" applyBorder="1"/>
    <xf numFmtId="0" fontId="6" fillId="0" borderId="11" xfId="0" applyFont="1" applyBorder="1"/>
    <xf numFmtId="0" fontId="25" fillId="7" borderId="4" xfId="0" applyFont="1" applyFill="1" applyBorder="1"/>
    <xf numFmtId="0" fontId="8" fillId="7" borderId="3" xfId="0" applyFont="1" applyFill="1" applyBorder="1"/>
    <xf numFmtId="0" fontId="8" fillId="7" borderId="2" xfId="0" applyFont="1" applyFill="1" applyBorder="1"/>
    <xf numFmtId="0" fontId="34" fillId="4" borderId="10" xfId="0" applyFont="1" applyFill="1" applyBorder="1" applyAlignment="1" applyProtection="1">
      <alignment horizontal="center" vertical="top" wrapText="1"/>
      <protection hidden="1"/>
    </xf>
    <xf numFmtId="0" fontId="34" fillId="4" borderId="0" xfId="0" applyFont="1" applyFill="1" applyAlignment="1" applyProtection="1">
      <alignment vertical="top"/>
      <protection hidden="1"/>
    </xf>
    <xf numFmtId="0" fontId="22" fillId="4" borderId="0" xfId="0" applyFont="1" applyFill="1" applyAlignment="1" applyProtection="1">
      <alignment horizontal="right" vertical="top"/>
      <protection hidden="1"/>
    </xf>
    <xf numFmtId="0" fontId="33" fillId="4" borderId="0" xfId="5" applyFont="1" applyFill="1" applyBorder="1" applyAlignment="1" applyProtection="1">
      <alignment horizontal="right" vertical="top"/>
      <protection hidden="1"/>
    </xf>
    <xf numFmtId="0" fontId="22" fillId="0" borderId="0" xfId="0" applyFont="1" applyAlignment="1" applyProtection="1">
      <alignment vertical="top"/>
      <protection locked="0"/>
    </xf>
    <xf numFmtId="0" fontId="22" fillId="0" borderId="11" xfId="0" applyFont="1" applyBorder="1" applyAlignment="1" applyProtection="1">
      <alignment vertical="top"/>
      <protection locked="0"/>
    </xf>
    <xf numFmtId="0" fontId="34" fillId="4" borderId="0" xfId="0" applyFont="1" applyFill="1" applyAlignment="1" applyProtection="1">
      <alignment vertical="top" wrapText="1"/>
      <protection hidden="1"/>
    </xf>
    <xf numFmtId="0" fontId="22" fillId="4" borderId="8" xfId="0" applyFont="1" applyFill="1" applyBorder="1" applyAlignment="1" applyProtection="1">
      <alignment vertical="top" wrapText="1"/>
      <protection hidden="1"/>
    </xf>
    <xf numFmtId="0" fontId="22" fillId="4" borderId="7" xfId="0" applyFont="1" applyFill="1" applyBorder="1" applyAlignment="1" applyProtection="1">
      <alignment vertical="top" wrapText="1"/>
      <protection hidden="1"/>
    </xf>
    <xf numFmtId="0" fontId="22" fillId="4" borderId="6" xfId="0" applyFont="1" applyFill="1" applyBorder="1" applyAlignment="1" applyProtection="1">
      <alignment vertical="top" wrapText="1"/>
      <protection hidden="1"/>
    </xf>
    <xf numFmtId="0" fontId="22" fillId="4" borderId="4" xfId="0" applyFont="1" applyFill="1" applyBorder="1" applyAlignment="1" applyProtection="1">
      <alignment vertical="top" wrapText="1"/>
      <protection hidden="1"/>
    </xf>
    <xf numFmtId="0" fontId="22" fillId="4" borderId="3" xfId="0" applyFont="1" applyFill="1" applyBorder="1" applyAlignment="1" applyProtection="1">
      <alignment vertical="top" wrapText="1"/>
      <protection hidden="1"/>
    </xf>
    <xf numFmtId="0" fontId="22" fillId="4" borderId="2" xfId="0" applyFont="1" applyFill="1" applyBorder="1" applyAlignment="1" applyProtection="1">
      <alignment vertical="top" wrapText="1"/>
      <protection hidden="1"/>
    </xf>
    <xf numFmtId="0" fontId="9" fillId="4" borderId="14" xfId="0" applyFont="1" applyFill="1" applyBorder="1" applyAlignment="1" applyProtection="1">
      <alignment vertical="top" wrapText="1"/>
      <protection hidden="1"/>
    </xf>
    <xf numFmtId="0" fontId="9" fillId="4" borderId="18" xfId="0" applyFont="1" applyFill="1" applyBorder="1" applyAlignment="1" applyProtection="1">
      <alignment vertical="top" wrapText="1"/>
      <protection hidden="1"/>
    </xf>
    <xf numFmtId="0" fontId="9" fillId="4" borderId="12" xfId="0" applyFont="1" applyFill="1" applyBorder="1" applyAlignment="1" applyProtection="1">
      <alignment vertical="top" wrapText="1"/>
      <protection hidden="1"/>
    </xf>
    <xf numFmtId="0" fontId="22" fillId="4" borderId="13" xfId="0" applyFont="1" applyFill="1" applyBorder="1" applyAlignment="1" applyProtection="1">
      <alignment vertical="top" wrapText="1"/>
      <protection hidden="1"/>
    </xf>
    <xf numFmtId="0" fontId="24" fillId="4" borderId="13" xfId="0" applyFont="1" applyFill="1" applyBorder="1" applyAlignment="1">
      <alignment vertical="top" wrapText="1"/>
    </xf>
    <xf numFmtId="0" fontId="22" fillId="4" borderId="10" xfId="0" applyFont="1" applyFill="1" applyBorder="1" applyAlignment="1" applyProtection="1">
      <alignment vertical="top" wrapText="1"/>
      <protection hidden="1"/>
    </xf>
    <xf numFmtId="0" fontId="33" fillId="4" borderId="13" xfId="5" applyFont="1" applyFill="1" applyBorder="1" applyAlignment="1" applyProtection="1">
      <alignment vertical="top" wrapText="1"/>
      <protection hidden="1"/>
    </xf>
    <xf numFmtId="0" fontId="9" fillId="4" borderId="13" xfId="0" applyFont="1" applyFill="1" applyBorder="1" applyAlignment="1" applyProtection="1">
      <alignment vertical="top" wrapText="1"/>
      <protection hidden="1"/>
    </xf>
    <xf numFmtId="0" fontId="19" fillId="4" borderId="7" xfId="0" applyFont="1" applyFill="1" applyBorder="1" applyAlignment="1" applyProtection="1">
      <alignment horizontal="center" vertical="top"/>
      <protection hidden="1"/>
    </xf>
    <xf numFmtId="0" fontId="16" fillId="4" borderId="3" xfId="0" applyFont="1" applyFill="1" applyBorder="1" applyAlignment="1" applyProtection="1">
      <alignment horizontal="center" vertical="center"/>
      <protection hidden="1"/>
    </xf>
    <xf numFmtId="0" fontId="33" fillId="4" borderId="7" xfId="5" applyFont="1" applyFill="1" applyBorder="1" applyAlignment="1" applyProtection="1">
      <alignment horizontal="center" shrinkToFit="1"/>
      <protection hidden="1"/>
    </xf>
    <xf numFmtId="0" fontId="33" fillId="4" borderId="6" xfId="5" applyFont="1" applyFill="1" applyBorder="1" applyAlignment="1" applyProtection="1">
      <alignment horizontal="center" shrinkToFit="1"/>
      <protection hidden="1"/>
    </xf>
    <xf numFmtId="0" fontId="31" fillId="4" borderId="8" xfId="0" applyFont="1" applyFill="1" applyBorder="1" applyAlignment="1" applyProtection="1">
      <alignment shrinkToFit="1"/>
      <protection hidden="1"/>
    </xf>
    <xf numFmtId="0" fontId="31" fillId="4" borderId="7" xfId="0" applyFont="1" applyFill="1" applyBorder="1" applyAlignment="1" applyProtection="1">
      <alignment shrinkToFit="1"/>
      <protection hidden="1"/>
    </xf>
    <xf numFmtId="14" fontId="22" fillId="5" borderId="0" xfId="0" applyNumberFormat="1" applyFont="1" applyFill="1" applyAlignment="1" applyProtection="1">
      <alignment horizontal="center" vertical="top" shrinkToFit="1"/>
      <protection locked="0"/>
    </xf>
    <xf numFmtId="0" fontId="22" fillId="4" borderId="10" xfId="0" applyFont="1" applyFill="1" applyBorder="1" applyAlignment="1" applyProtection="1">
      <alignment vertical="top"/>
      <protection hidden="1"/>
    </xf>
    <xf numFmtId="0" fontId="22" fillId="4" borderId="0" xfId="0" applyFont="1" applyFill="1" applyAlignment="1" applyProtection="1">
      <alignment vertical="top"/>
      <protection hidden="1"/>
    </xf>
    <xf numFmtId="14" fontId="23" fillId="8" borderId="10" xfId="0" applyNumberFormat="1" applyFont="1" applyFill="1" applyBorder="1" applyAlignment="1" applyProtection="1">
      <alignment vertical="top" shrinkToFit="1"/>
      <protection hidden="1"/>
    </xf>
    <xf numFmtId="14" fontId="23" fillId="8" borderId="0" xfId="0" applyNumberFormat="1" applyFont="1" applyFill="1" applyAlignment="1" applyProtection="1">
      <alignment vertical="top" shrinkToFit="1"/>
      <protection hidden="1"/>
    </xf>
    <xf numFmtId="0" fontId="22" fillId="4" borderId="10" xfId="0" applyFont="1" applyFill="1" applyBorder="1" applyAlignment="1" applyProtection="1">
      <alignment horizontal="right" vertical="top" shrinkToFit="1"/>
      <protection hidden="1"/>
    </xf>
    <xf numFmtId="0" fontId="22" fillId="4" borderId="0" xfId="0" applyFont="1" applyFill="1" applyAlignment="1" applyProtection="1">
      <alignment horizontal="right" vertical="top" shrinkToFit="1"/>
      <protection hidden="1"/>
    </xf>
    <xf numFmtId="0" fontId="22" fillId="5" borderId="0" xfId="0" applyFont="1" applyFill="1" applyAlignment="1" applyProtection="1">
      <alignment horizontal="center" vertical="top" shrinkToFit="1"/>
      <protection locked="0"/>
    </xf>
    <xf numFmtId="0" fontId="14" fillId="11" borderId="8" xfId="0" applyFont="1" applyFill="1" applyBorder="1" applyAlignment="1" applyProtection="1">
      <alignment horizontal="center" vertical="center"/>
      <protection hidden="1"/>
    </xf>
    <xf numFmtId="0" fontId="14" fillId="11" borderId="7" xfId="0" applyFont="1" applyFill="1" applyBorder="1" applyAlignment="1" applyProtection="1">
      <alignment horizontal="center" vertical="center"/>
      <protection hidden="1"/>
    </xf>
    <xf numFmtId="0" fontId="14" fillId="11" borderId="4" xfId="0" applyFont="1" applyFill="1" applyBorder="1" applyAlignment="1" applyProtection="1">
      <alignment horizontal="center" vertical="center"/>
      <protection hidden="1"/>
    </xf>
    <xf numFmtId="0" fontId="14" fillId="11" borderId="3" xfId="0" applyFont="1" applyFill="1" applyBorder="1" applyAlignment="1" applyProtection="1">
      <alignment horizontal="center" vertical="center"/>
      <protection hidden="1"/>
    </xf>
    <xf numFmtId="0" fontId="33" fillId="4" borderId="10" xfId="5" applyFont="1" applyFill="1" applyBorder="1" applyAlignment="1" applyProtection="1">
      <alignment horizontal="right" vertical="top"/>
      <protection hidden="1"/>
    </xf>
    <xf numFmtId="0" fontId="22" fillId="6" borderId="0" xfId="4" applyFont="1" applyFill="1" applyAlignment="1" applyProtection="1">
      <alignment shrinkToFit="1"/>
      <protection hidden="1"/>
    </xf>
    <xf numFmtId="0" fontId="22" fillId="4" borderId="10" xfId="0" applyFont="1" applyFill="1" applyBorder="1" applyAlignment="1" applyProtection="1">
      <alignment horizontal="right" vertical="top"/>
      <protection hidden="1"/>
    </xf>
    <xf numFmtId="0" fontId="36" fillId="0" borderId="0" xfId="0" applyFont="1" applyAlignment="1" applyProtection="1">
      <alignment vertical="top" shrinkToFit="1"/>
      <protection locked="0"/>
    </xf>
    <xf numFmtId="0" fontId="33" fillId="4" borderId="10" xfId="5" applyFont="1" applyFill="1" applyBorder="1" applyAlignment="1" applyProtection="1">
      <alignment horizontal="right" vertical="top" shrinkToFit="1"/>
      <protection hidden="1"/>
    </xf>
    <xf numFmtId="0" fontId="33" fillId="4" borderId="0" xfId="5" applyFont="1" applyFill="1" applyBorder="1" applyAlignment="1" applyProtection="1">
      <alignment horizontal="right" vertical="top" shrinkToFit="1"/>
      <protection hidden="1"/>
    </xf>
    <xf numFmtId="0" fontId="33" fillId="0" borderId="0" xfId="5" applyFont="1" applyFill="1" applyBorder="1" applyAlignment="1" applyProtection="1">
      <alignment vertical="top"/>
      <protection locked="0"/>
    </xf>
    <xf numFmtId="0" fontId="31" fillId="4" borderId="8" xfId="0" applyFont="1" applyFill="1" applyBorder="1" applyAlignment="1" applyProtection="1">
      <alignment vertical="top"/>
      <protection hidden="1"/>
    </xf>
    <xf numFmtId="0" fontId="31" fillId="4" borderId="7" xfId="0" applyFont="1" applyFill="1" applyBorder="1" applyAlignment="1" applyProtection="1">
      <alignment vertical="top"/>
      <protection hidden="1"/>
    </xf>
    <xf numFmtId="49" fontId="22" fillId="0" borderId="0" xfId="0" applyNumberFormat="1" applyFont="1" applyAlignment="1" applyProtection="1">
      <alignment horizontal="center" vertical="top"/>
      <protection locked="0"/>
    </xf>
    <xf numFmtId="0" fontId="22" fillId="4" borderId="10" xfId="0" applyFont="1" applyFill="1" applyBorder="1" applyAlignment="1" applyProtection="1">
      <alignment horizontal="right" vertical="top" wrapText="1"/>
      <protection hidden="1"/>
    </xf>
    <xf numFmtId="0" fontId="22" fillId="4" borderId="0" xfId="0" applyFont="1" applyFill="1" applyAlignment="1" applyProtection="1">
      <alignment horizontal="right" vertical="top" wrapText="1"/>
      <protection hidden="1"/>
    </xf>
    <xf numFmtId="0" fontId="22" fillId="4" borderId="3" xfId="0" applyFont="1" applyFill="1" applyBorder="1" applyAlignment="1" applyProtection="1">
      <alignment vertical="top"/>
      <protection hidden="1"/>
    </xf>
    <xf numFmtId="0" fontId="26" fillId="0" borderId="0" xfId="0" applyFont="1" applyAlignment="1" applyProtection="1">
      <alignment horizontal="center" vertical="center"/>
      <protection hidden="1"/>
    </xf>
    <xf numFmtId="0" fontId="8" fillId="0" borderId="11" xfId="0" applyFont="1" applyBorder="1" applyAlignment="1" applyProtection="1">
      <alignment horizontal="center" vertical="center" wrapText="1"/>
      <protection hidden="1"/>
    </xf>
    <xf numFmtId="0" fontId="8" fillId="0" borderId="2" xfId="0" applyFont="1" applyBorder="1" applyAlignment="1" applyProtection="1">
      <alignment horizontal="center" vertical="center" wrapText="1"/>
      <protection hidden="1"/>
    </xf>
    <xf numFmtId="0" fontId="26" fillId="0" borderId="11" xfId="0" applyFont="1" applyBorder="1" applyAlignment="1" applyProtection="1">
      <alignment horizontal="center" vertical="center"/>
      <protection hidden="1"/>
    </xf>
    <xf numFmtId="0" fontId="8" fillId="0" borderId="11" xfId="0" applyFont="1" applyBorder="1" applyAlignment="1" applyProtection="1">
      <alignment horizontal="center" vertical="center"/>
      <protection hidden="1"/>
    </xf>
    <xf numFmtId="0" fontId="5" fillId="0" borderId="0" xfId="1" applyFont="1" applyProtection="1">
      <protection hidden="1"/>
    </xf>
    <xf numFmtId="0" fontId="5" fillId="0" borderId="0" xfId="0" applyFont="1" applyProtection="1">
      <protection hidden="1"/>
    </xf>
    <xf numFmtId="0" fontId="5" fillId="3" borderId="0" xfId="0" applyFont="1" applyFill="1" applyAlignment="1" applyProtection="1">
      <alignment vertical="top"/>
      <protection hidden="1"/>
    </xf>
    <xf numFmtId="0" fontId="5" fillId="0" borderId="3" xfId="0" applyFont="1" applyBorder="1" applyAlignment="1" applyProtection="1">
      <alignment vertical="top"/>
      <protection hidden="1"/>
    </xf>
    <xf numFmtId="0" fontId="5" fillId="0" borderId="3" xfId="0" applyFont="1" applyBorder="1" applyProtection="1">
      <protection hidden="1"/>
    </xf>
    <xf numFmtId="0" fontId="6" fillId="0" borderId="0" xfId="0" applyFont="1" applyAlignment="1" applyProtection="1">
      <alignment vertical="top" wrapText="1"/>
      <protection hidden="1"/>
    </xf>
    <xf numFmtId="0" fontId="12" fillId="0" borderId="5" xfId="2" applyFont="1" applyBorder="1" applyAlignment="1" applyProtection="1">
      <alignment horizontal="center" vertical="center" textRotation="90"/>
      <protection hidden="1"/>
    </xf>
    <xf numFmtId="0" fontId="12" fillId="0" borderId="9" xfId="2" applyFont="1" applyBorder="1" applyAlignment="1" applyProtection="1">
      <alignment horizontal="center" vertical="center" textRotation="90"/>
      <protection hidden="1"/>
    </xf>
    <xf numFmtId="0" fontId="12" fillId="0" borderId="1" xfId="2" applyFont="1" applyBorder="1" applyAlignment="1" applyProtection="1">
      <alignment horizontal="center" vertical="center" textRotation="90"/>
      <protection hidden="1"/>
    </xf>
    <xf numFmtId="0" fontId="5" fillId="0" borderId="8" xfId="0" applyFont="1" applyBorder="1" applyAlignment="1" applyProtection="1">
      <alignment horizontal="center" vertical="top" wrapText="1"/>
      <protection hidden="1"/>
    </xf>
    <xf numFmtId="0" fontId="5" fillId="0" borderId="7" xfId="0" applyFont="1" applyBorder="1" applyAlignment="1" applyProtection="1">
      <alignment horizontal="center" vertical="top" wrapText="1"/>
      <protection hidden="1"/>
    </xf>
    <xf numFmtId="0" fontId="5" fillId="0" borderId="6" xfId="0" applyFont="1" applyBorder="1" applyAlignment="1" applyProtection="1">
      <alignment horizontal="center" vertical="top" wrapText="1"/>
      <protection hidden="1"/>
    </xf>
    <xf numFmtId="0" fontId="5" fillId="0" borderId="4" xfId="0" applyFont="1" applyBorder="1" applyAlignment="1" applyProtection="1">
      <alignment horizontal="center" vertical="top" wrapText="1"/>
      <protection hidden="1"/>
    </xf>
    <xf numFmtId="0" fontId="5" fillId="0" borderId="3" xfId="0" applyFont="1" applyBorder="1" applyAlignment="1" applyProtection="1">
      <alignment horizontal="center" vertical="top" wrapText="1"/>
      <protection hidden="1"/>
    </xf>
    <xf numFmtId="0" fontId="5" fillId="0" borderId="2" xfId="0" applyFont="1" applyBorder="1" applyAlignment="1" applyProtection="1">
      <alignment horizontal="center" vertical="top" wrapText="1"/>
      <protection hidden="1"/>
    </xf>
    <xf numFmtId="0" fontId="12" fillId="4" borderId="5" xfId="2" applyFont="1" applyFill="1" applyBorder="1" applyAlignment="1" applyProtection="1">
      <alignment horizontal="center" vertical="center" textRotation="90"/>
      <protection hidden="1"/>
    </xf>
    <xf numFmtId="0" fontId="12" fillId="4" borderId="9" xfId="2" applyFont="1" applyFill="1" applyBorder="1" applyAlignment="1" applyProtection="1">
      <alignment horizontal="center" vertical="center" textRotation="90"/>
      <protection hidden="1"/>
    </xf>
    <xf numFmtId="0" fontId="12" fillId="4" borderId="1" xfId="2" applyFont="1" applyFill="1" applyBorder="1" applyAlignment="1" applyProtection="1">
      <alignment horizontal="center" vertical="center" textRotation="90"/>
      <protection hidden="1"/>
    </xf>
    <xf numFmtId="0" fontId="5" fillId="0" borderId="9" xfId="0" applyFont="1" applyBorder="1" applyAlignment="1" applyProtection="1">
      <alignment horizontal="center" vertical="center" textRotation="90" wrapText="1"/>
      <protection hidden="1"/>
    </xf>
    <xf numFmtId="0" fontId="5" fillId="0" borderId="1" xfId="0" applyFont="1" applyBorder="1" applyAlignment="1" applyProtection="1">
      <alignment horizontal="center" vertical="center" textRotation="90" wrapText="1"/>
      <protection hidden="1"/>
    </xf>
    <xf numFmtId="0" fontId="5" fillId="0" borderId="3" xfId="0" applyFont="1" applyBorder="1" applyAlignment="1" applyProtection="1">
      <alignment vertical="top" wrapText="1"/>
      <protection hidden="1"/>
    </xf>
    <xf numFmtId="0" fontId="6" fillId="0" borderId="13" xfId="2" applyFont="1" applyBorder="1" applyAlignment="1" applyProtection="1">
      <alignment horizontal="center" vertical="top" wrapText="1"/>
      <protection hidden="1"/>
    </xf>
    <xf numFmtId="0" fontId="6" fillId="4" borderId="5" xfId="2" applyFont="1" applyFill="1" applyBorder="1" applyAlignment="1" applyProtection="1">
      <alignment horizontal="center" vertical="top" wrapText="1"/>
      <protection hidden="1"/>
    </xf>
    <xf numFmtId="0" fontId="6" fillId="4" borderId="9" xfId="2" applyFont="1" applyFill="1" applyBorder="1" applyAlignment="1" applyProtection="1">
      <alignment horizontal="center" vertical="top" wrapText="1"/>
      <protection hidden="1"/>
    </xf>
    <xf numFmtId="0" fontId="6" fillId="4" borderId="1" xfId="2" applyFont="1" applyFill="1" applyBorder="1" applyAlignment="1" applyProtection="1">
      <alignment horizontal="center" vertical="top" wrapText="1"/>
      <protection hidden="1"/>
    </xf>
    <xf numFmtId="0" fontId="6" fillId="4" borderId="8" xfId="2" applyFont="1" applyFill="1" applyBorder="1" applyAlignment="1" applyProtection="1">
      <alignment horizontal="center" vertical="top" wrapText="1"/>
      <protection hidden="1"/>
    </xf>
    <xf numFmtId="0" fontId="6" fillId="4" borderId="10" xfId="2" applyFont="1" applyFill="1" applyBorder="1" applyAlignment="1" applyProtection="1">
      <alignment horizontal="center" vertical="top" wrapText="1"/>
      <protection hidden="1"/>
    </xf>
    <xf numFmtId="0" fontId="6" fillId="4" borderId="4" xfId="2" applyFont="1" applyFill="1" applyBorder="1" applyAlignment="1" applyProtection="1">
      <alignment horizontal="center" vertical="top" wrapText="1"/>
      <protection hidden="1"/>
    </xf>
    <xf numFmtId="0" fontId="5" fillId="0" borderId="0" xfId="0" applyFont="1" applyAlignment="1" applyProtection="1">
      <alignment vertical="top" wrapText="1"/>
      <protection hidden="1"/>
    </xf>
    <xf numFmtId="0" fontId="27" fillId="14" borderId="0" xfId="0" applyFont="1" applyFill="1" applyAlignment="1" applyProtection="1">
      <alignment vertical="top" wrapText="1"/>
      <protection hidden="1"/>
    </xf>
    <xf numFmtId="0" fontId="6" fillId="4" borderId="13" xfId="2" applyFont="1" applyFill="1" applyBorder="1" applyAlignment="1" applyProtection="1">
      <alignment horizontal="center" vertical="top" wrapText="1"/>
      <protection hidden="1"/>
    </xf>
    <xf numFmtId="0" fontId="6" fillId="4" borderId="14" xfId="2" applyFont="1" applyFill="1" applyBorder="1" applyAlignment="1" applyProtection="1">
      <alignment horizontal="center" vertical="top" wrapText="1"/>
      <protection hidden="1"/>
    </xf>
    <xf numFmtId="0" fontId="6" fillId="0" borderId="8" xfId="2" applyFont="1" applyBorder="1" applyAlignment="1" applyProtection="1">
      <alignment horizontal="center" vertical="top" wrapText="1"/>
      <protection hidden="1"/>
    </xf>
    <xf numFmtId="0" fontId="6" fillId="0" borderId="10" xfId="2" applyFont="1" applyBorder="1" applyAlignment="1" applyProtection="1">
      <alignment horizontal="center" vertical="top" wrapText="1"/>
      <protection hidden="1"/>
    </xf>
    <xf numFmtId="0" fontId="6" fillId="0" borderId="5" xfId="2" applyFont="1" applyBorder="1" applyAlignment="1" applyProtection="1">
      <alignment horizontal="center" vertical="top" wrapText="1"/>
      <protection hidden="1"/>
    </xf>
    <xf numFmtId="0" fontId="6" fillId="0" borderId="9" xfId="2" applyFont="1" applyBorder="1" applyAlignment="1" applyProtection="1">
      <alignment horizontal="center" vertical="top" wrapText="1"/>
      <protection hidden="1"/>
    </xf>
    <xf numFmtId="0" fontId="6" fillId="0" borderId="14" xfId="2" applyFont="1" applyBorder="1" applyAlignment="1" applyProtection="1">
      <alignment horizontal="center" vertical="top" wrapText="1"/>
      <protection hidden="1"/>
    </xf>
    <xf numFmtId="0" fontId="6" fillId="0" borderId="12" xfId="2" applyFont="1" applyBorder="1" applyAlignment="1" applyProtection="1">
      <alignment horizontal="center" vertical="top" wrapText="1"/>
      <protection hidden="1"/>
    </xf>
    <xf numFmtId="0" fontId="6" fillId="0" borderId="4" xfId="2" applyFont="1" applyBorder="1" applyAlignment="1" applyProtection="1">
      <alignment horizontal="center" vertical="top" wrapText="1"/>
      <protection hidden="1"/>
    </xf>
    <xf numFmtId="0" fontId="5" fillId="0" borderId="13" xfId="0" applyFont="1" applyBorder="1" applyAlignment="1" applyProtection="1">
      <alignment horizontal="center" vertical="center" textRotation="90" wrapText="1"/>
      <protection hidden="1"/>
    </xf>
    <xf numFmtId="0" fontId="20" fillId="0" borderId="0" xfId="0" applyFont="1" applyProtection="1">
      <protection hidden="1"/>
    </xf>
    <xf numFmtId="0" fontId="21" fillId="10" borderId="0" xfId="0" applyFont="1" applyFill="1" applyAlignment="1" applyProtection="1">
      <alignment vertical="center" readingOrder="1"/>
      <protection hidden="1"/>
    </xf>
    <xf numFmtId="0" fontId="5" fillId="0" borderId="8" xfId="0" applyFont="1" applyBorder="1" applyAlignment="1" applyProtection="1">
      <alignment horizontal="center" vertical="center" textRotation="90"/>
      <protection hidden="1"/>
    </xf>
    <xf numFmtId="0" fontId="5" fillId="0" borderId="10" xfId="0" applyFont="1" applyBorder="1" applyAlignment="1" applyProtection="1">
      <alignment horizontal="center" vertical="center" textRotation="90"/>
      <protection hidden="1"/>
    </xf>
    <xf numFmtId="0" fontId="5" fillId="0" borderId="4" xfId="0" applyFont="1" applyBorder="1" applyAlignment="1" applyProtection="1">
      <alignment horizontal="center" vertical="center" textRotation="90"/>
      <protection hidden="1"/>
    </xf>
    <xf numFmtId="0" fontId="6" fillId="0" borderId="5" xfId="0" applyFont="1" applyBorder="1" applyAlignment="1" applyProtection="1">
      <alignment horizontal="center" vertical="top"/>
      <protection hidden="1"/>
    </xf>
    <xf numFmtId="0" fontId="6" fillId="0" borderId="9" xfId="0" applyFont="1" applyBorder="1" applyAlignment="1" applyProtection="1">
      <alignment horizontal="center" vertical="top"/>
      <protection hidden="1"/>
    </xf>
    <xf numFmtId="0" fontId="6" fillId="0" borderId="1" xfId="0" applyFont="1" applyBorder="1" applyAlignment="1" applyProtection="1">
      <alignment horizontal="center" vertical="top"/>
      <protection hidden="1"/>
    </xf>
    <xf numFmtId="0" fontId="13" fillId="2" borderId="0" xfId="0" applyFont="1" applyFill="1" applyAlignment="1" applyProtection="1">
      <alignment vertical="top"/>
      <protection hidden="1"/>
    </xf>
  </cellXfs>
  <cellStyles count="10">
    <cellStyle name="Hyperlink" xfId="5" builtinId="8"/>
    <cellStyle name="Normal" xfId="0" builtinId="0"/>
    <cellStyle name="Normal 2" xfId="1" xr:uid="{00000000-0005-0000-0000-000002000000}"/>
    <cellStyle name="Normal 2 2" xfId="2" xr:uid="{00000000-0005-0000-0000-000003000000}"/>
    <cellStyle name="Normal_codes" xfId="3" xr:uid="{00000000-0005-0000-0000-000004000000}"/>
    <cellStyle name="Normal_Codes_1" xfId="6" xr:uid="{00000000-0005-0000-0000-000005000000}"/>
    <cellStyle name="Normal_Compared_T1vsASFIS" xfId="8" xr:uid="{2D7126CF-BC6C-4B02-B5D0-5A1862C6C1C5}"/>
    <cellStyle name="Normal_lk_species" xfId="4" xr:uid="{00000000-0005-0000-0000-000006000000}"/>
    <cellStyle name="Normal_Others" xfId="9" xr:uid="{06382BAB-22D7-40D5-BFF9-D0EF33FC6FDD}"/>
    <cellStyle name="Normal_tablesOfCodes" xfId="7" xr:uid="{23E48888-C967-4F07-B0F7-57FA9845F6E6}"/>
  </cellStyles>
  <dxfs count="69">
    <dxf>
      <fill>
        <patternFill>
          <bgColor rgb="FFFFFF99"/>
        </patternFill>
      </fill>
    </dxf>
    <dxf>
      <fill>
        <patternFill>
          <bgColor rgb="FFFFFF99"/>
        </patternFill>
      </fill>
    </dxf>
    <dxf>
      <fill>
        <patternFill>
          <bgColor rgb="FFFFFF99"/>
        </patternFill>
      </fill>
    </dxf>
    <dxf>
      <fill>
        <patternFill>
          <bgColor rgb="FFFFFF00"/>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patternType="none">
          <bgColor auto="1"/>
        </patternFill>
      </fill>
    </dxf>
    <dxf>
      <fill>
        <patternFill patternType="solid">
          <bgColor rgb="FFFFFF00"/>
        </patternFill>
      </fill>
    </dxf>
    <dxf>
      <font>
        <color auto="1"/>
      </font>
      <fill>
        <patternFill patternType="solid">
          <bgColor theme="6" tint="0.59996337778862885"/>
        </patternFill>
      </fill>
    </dxf>
    <dxf>
      <font>
        <color rgb="FFC00000"/>
      </font>
      <fill>
        <patternFill patternType="solid">
          <bgColor rgb="FFFFFF00"/>
        </patternFill>
      </fill>
    </dxf>
    <dxf>
      <font>
        <b val="0"/>
        <i val="0"/>
        <strike val="0"/>
        <condense val="0"/>
        <extend val="0"/>
        <outline val="0"/>
        <shadow val="0"/>
        <u val="none"/>
        <vertAlign val="baseline"/>
        <sz val="8"/>
        <color auto="1"/>
        <name val="Calibri"/>
        <family val="2"/>
        <scheme val="minor"/>
      </font>
      <numFmt numFmtId="0" formatCode="General"/>
      <fill>
        <patternFill patternType="none">
          <fgColor indexed="64"/>
          <bgColor indexed="65"/>
        </patternFill>
      </fill>
      <alignment horizontal="general" vertical="top" textRotation="0" wrapText="1" indent="0" justifyLastLine="0" shrinkToFit="0" readingOrder="0"/>
      <border diagonalUp="0" diagonalDown="0">
        <left/>
        <right/>
        <top style="thin">
          <color theme="8"/>
        </top>
        <bottom/>
        <vertical/>
        <horizontal/>
      </border>
      <protection locked="1" hidden="1"/>
    </dxf>
    <dxf>
      <font>
        <b val="0"/>
        <i val="0"/>
        <strike val="0"/>
        <condense val="0"/>
        <extend val="0"/>
        <outline val="0"/>
        <shadow val="0"/>
        <u val="none"/>
        <vertAlign val="baseline"/>
        <sz val="8"/>
        <color auto="1"/>
        <name val="Calibri"/>
        <family val="2"/>
        <scheme val="minor"/>
      </font>
      <numFmt numFmtId="0" formatCode="General"/>
      <fill>
        <patternFill patternType="none">
          <fgColor indexed="64"/>
          <bgColor indexed="65"/>
        </patternFill>
      </fill>
      <alignment horizontal="general" vertical="top" textRotation="0" wrapText="1" indent="0" justifyLastLine="0" shrinkToFit="0" readingOrder="0"/>
      <border diagonalUp="0" diagonalDown="0">
        <left/>
        <right/>
        <top style="thin">
          <color theme="8"/>
        </top>
        <bottom/>
        <vertical/>
        <horizontal/>
      </border>
      <protection locked="1" hidden="1"/>
    </dxf>
    <dxf>
      <font>
        <b val="0"/>
        <i val="0"/>
        <strike val="0"/>
        <condense val="0"/>
        <extend val="0"/>
        <outline val="0"/>
        <shadow val="0"/>
        <u val="none"/>
        <vertAlign val="baseline"/>
        <sz val="8"/>
        <color auto="1"/>
        <name val="Calibri"/>
        <family val="2"/>
        <scheme val="minor"/>
      </font>
      <numFmt numFmtId="0" formatCode="General"/>
      <fill>
        <patternFill patternType="none">
          <fgColor indexed="64"/>
          <bgColor indexed="65"/>
        </patternFill>
      </fill>
      <alignment horizontal="general" vertical="top" textRotation="0" wrapText="1" indent="0" justifyLastLine="0" shrinkToFit="0" readingOrder="0"/>
      <border diagonalUp="0" diagonalDown="0">
        <left/>
        <right/>
        <top style="thin">
          <color theme="8"/>
        </top>
        <bottom/>
        <vertical/>
        <horizontal/>
      </border>
      <protection locked="1" hidden="1"/>
    </dxf>
    <dxf>
      <font>
        <b val="0"/>
        <i val="0"/>
        <strike val="0"/>
        <condense val="0"/>
        <extend val="0"/>
        <outline val="0"/>
        <shadow val="0"/>
        <u val="none"/>
        <vertAlign val="baseline"/>
        <sz val="8"/>
        <color auto="1"/>
        <name val="Calibri"/>
        <family val="2"/>
        <scheme val="minor"/>
      </font>
      <numFmt numFmtId="0" formatCode="General"/>
      <fill>
        <patternFill patternType="none">
          <fgColor indexed="64"/>
          <bgColor indexed="65"/>
        </patternFill>
      </fill>
      <alignment horizontal="general" vertical="top" textRotation="0" wrapText="1" indent="0" justifyLastLine="0" shrinkToFit="0" readingOrder="0"/>
      <border diagonalUp="0" diagonalDown="0">
        <left/>
        <right/>
        <top style="thin">
          <color theme="8"/>
        </top>
        <bottom/>
        <vertical/>
        <horizontal/>
      </border>
      <protection locked="1" hidden="1"/>
    </dxf>
    <dxf>
      <font>
        <b val="0"/>
        <strike val="0"/>
        <outline val="0"/>
        <shadow val="0"/>
        <u val="none"/>
        <vertAlign val="baseline"/>
        <sz val="8"/>
        <color auto="1"/>
        <name val="Calibri"/>
        <family val="2"/>
        <scheme val="minor"/>
      </font>
      <numFmt numFmtId="0" formatCode="General"/>
      <fill>
        <patternFill patternType="none">
          <fgColor indexed="64"/>
          <bgColor indexed="65"/>
        </patternFill>
      </fill>
      <alignment horizontal="general" vertical="top" textRotation="0" wrapText="1" indent="0" justifyLastLine="0" shrinkToFit="0" readingOrder="0"/>
      <border diagonalUp="0" diagonalDown="0">
        <left/>
        <right/>
        <top style="thin">
          <color theme="8"/>
        </top>
        <bottom/>
        <vertical/>
        <horizontal/>
      </border>
      <protection locked="1" hidden="1"/>
    </dxf>
    <dxf>
      <font>
        <b val="0"/>
        <strike val="0"/>
        <outline val="0"/>
        <shadow val="0"/>
        <u val="none"/>
        <vertAlign val="baseline"/>
        <sz val="8"/>
        <color auto="1"/>
        <name val="Calibri"/>
        <family val="2"/>
        <scheme val="minor"/>
      </font>
      <numFmt numFmtId="0" formatCode="General"/>
      <fill>
        <patternFill patternType="none">
          <fgColor indexed="64"/>
          <bgColor indexed="65"/>
        </patternFill>
      </fill>
      <alignment horizontal="general" vertical="top" textRotation="0" wrapText="1" indent="0" justifyLastLine="0" shrinkToFit="0" readingOrder="0"/>
      <border diagonalUp="0" diagonalDown="0">
        <left/>
        <right/>
        <top style="thin">
          <color theme="8"/>
        </top>
        <bottom/>
        <vertical/>
        <horizontal/>
      </border>
      <protection locked="1" hidden="1"/>
    </dxf>
    <dxf>
      <font>
        <b val="0"/>
        <strike val="0"/>
        <outline val="0"/>
        <shadow val="0"/>
        <u val="none"/>
        <vertAlign val="baseline"/>
        <sz val="8"/>
        <color auto="1"/>
        <name val="Calibri"/>
        <scheme val="minor"/>
      </font>
      <numFmt numFmtId="0" formatCode="General"/>
      <fill>
        <patternFill patternType="none">
          <fgColor indexed="64"/>
          <bgColor indexed="65"/>
        </patternFill>
      </fill>
      <alignment horizontal="general" vertical="top" textRotation="0" wrapText="0" indent="0" justifyLastLine="0" shrinkToFit="0" readingOrder="0"/>
      <border diagonalUp="0" diagonalDown="0">
        <left/>
        <right/>
        <top style="thin">
          <color theme="8"/>
        </top>
        <bottom/>
        <vertical/>
        <horizontal/>
      </border>
      <protection locked="1" hidden="1"/>
    </dxf>
    <dxf>
      <font>
        <b val="0"/>
        <strike val="0"/>
        <outline val="0"/>
        <shadow val="0"/>
        <u val="none"/>
        <vertAlign val="baseline"/>
        <sz val="8"/>
        <color auto="1"/>
        <name val="Calibri"/>
        <scheme val="minor"/>
      </font>
      <fill>
        <patternFill patternType="none">
          <fgColor indexed="64"/>
          <bgColor indexed="65"/>
        </patternFill>
      </fill>
      <alignment horizontal="general" vertical="top" textRotation="0" wrapText="0" indent="0" justifyLastLine="0" shrinkToFit="0" readingOrder="0"/>
      <border diagonalUp="0" diagonalDown="0">
        <left/>
        <right/>
        <top style="thin">
          <color theme="8"/>
        </top>
        <bottom/>
        <vertical/>
        <horizontal/>
      </border>
      <protection locked="1" hidden="1"/>
    </dxf>
    <dxf>
      <font>
        <b val="0"/>
        <strike val="0"/>
        <outline val="0"/>
        <shadow val="0"/>
        <u val="none"/>
        <vertAlign val="baseline"/>
        <sz val="8"/>
        <color auto="1"/>
        <name val="Calibri"/>
        <family val="2"/>
        <scheme val="minor"/>
      </font>
      <numFmt numFmtId="0" formatCode="General"/>
      <fill>
        <patternFill patternType="none">
          <fgColor indexed="64"/>
          <bgColor indexed="65"/>
        </patternFill>
      </fill>
      <alignment horizontal="general" vertical="top" textRotation="0" wrapText="0" indent="0" justifyLastLine="0" shrinkToFit="0" readingOrder="0"/>
      <border diagonalUp="0" diagonalDown="0">
        <left/>
        <right/>
        <top style="thin">
          <color theme="8"/>
        </top>
        <bottom/>
        <vertical/>
        <horizontal/>
      </border>
      <protection locked="1" hidden="1"/>
    </dxf>
    <dxf>
      <font>
        <b val="0"/>
        <strike val="0"/>
        <outline val="0"/>
        <shadow val="0"/>
        <u val="none"/>
        <vertAlign val="baseline"/>
        <sz val="8"/>
        <color auto="1"/>
        <name val="Calibri"/>
        <scheme val="minor"/>
      </font>
      <numFmt numFmtId="0" formatCode="General"/>
      <fill>
        <patternFill patternType="none">
          <fgColor indexed="64"/>
          <bgColor indexed="65"/>
        </patternFill>
      </fill>
      <alignment horizontal="general" vertical="top" textRotation="0" wrapText="0" indent="0" justifyLastLine="0" shrinkToFit="0" readingOrder="0"/>
      <border diagonalUp="0" diagonalDown="0">
        <left/>
        <right/>
        <top style="thin">
          <color theme="8"/>
        </top>
        <bottom/>
        <vertical/>
        <horizontal/>
      </border>
      <protection locked="1" hidden="1"/>
    </dxf>
    <dxf>
      <font>
        <b val="0"/>
        <i val="0"/>
        <strike val="0"/>
        <condense val="0"/>
        <extend val="0"/>
        <outline val="0"/>
        <shadow val="0"/>
        <u val="none"/>
        <vertAlign val="baseline"/>
        <sz val="8"/>
        <color auto="1"/>
        <name val="Calibri"/>
        <family val="2"/>
        <scheme val="minor"/>
      </font>
      <alignment horizontal="general" vertical="top" textRotation="0" wrapText="0" indent="0" justifyLastLine="0" shrinkToFit="0" readingOrder="0"/>
      <border diagonalUp="0" diagonalDown="0">
        <left/>
        <right/>
        <top style="thin">
          <color theme="8"/>
        </top>
        <bottom/>
        <vertical/>
        <horizontal/>
      </border>
      <protection locked="1" hidden="1"/>
    </dxf>
    <dxf>
      <font>
        <b val="0"/>
        <strike val="0"/>
        <outline val="0"/>
        <shadow val="0"/>
        <u val="none"/>
        <vertAlign val="baseline"/>
        <sz val="8"/>
        <color auto="1"/>
        <name val="Calibri"/>
        <scheme val="minor"/>
      </font>
      <fill>
        <patternFill patternType="none">
          <fgColor indexed="64"/>
          <bgColor indexed="65"/>
        </patternFill>
      </fill>
      <alignment horizontal="general" vertical="top" textRotation="0" wrapText="0" indent="0" justifyLastLine="0" shrinkToFit="0" readingOrder="0"/>
      <border diagonalUp="0" diagonalDown="0">
        <left/>
        <right/>
        <top style="thin">
          <color theme="8"/>
        </top>
        <bottom/>
        <vertical/>
        <horizontal/>
      </border>
      <protection locked="1" hidden="1"/>
    </dxf>
    <dxf>
      <font>
        <b val="0"/>
        <i val="0"/>
        <strike val="0"/>
        <condense val="0"/>
        <extend val="0"/>
        <outline val="0"/>
        <shadow val="0"/>
        <u val="none"/>
        <vertAlign val="baseline"/>
        <sz val="8"/>
        <color auto="1"/>
        <name val="Calibri"/>
        <scheme val="minor"/>
      </font>
      <fill>
        <patternFill patternType="none">
          <fgColor indexed="64"/>
          <bgColor indexed="65"/>
        </patternFill>
      </fill>
      <alignment horizontal="general" vertical="top" textRotation="0" wrapText="0" indent="0" justifyLastLine="0" shrinkToFit="0" readingOrder="0"/>
      <border diagonalUp="0" diagonalDown="0">
        <left style="thin">
          <color theme="8"/>
        </left>
        <right/>
        <top style="thin">
          <color theme="8"/>
        </top>
        <bottom/>
        <vertical/>
        <horizontal/>
      </border>
      <protection locked="1" hidden="1"/>
    </dxf>
    <dxf>
      <border outline="0">
        <top style="thin">
          <color theme="7" tint="0.39997558519241921"/>
        </top>
      </border>
    </dxf>
    <dxf>
      <font>
        <b val="0"/>
        <i val="0"/>
        <strike val="0"/>
        <condense val="0"/>
        <extend val="0"/>
        <outline val="0"/>
        <shadow val="0"/>
        <u val="none"/>
        <vertAlign val="baseline"/>
        <sz val="8"/>
        <color auto="1"/>
        <name val="Calibri"/>
        <family val="2"/>
        <scheme val="minor"/>
      </font>
      <fill>
        <patternFill patternType="none">
          <fgColor indexed="64"/>
          <bgColor indexed="65"/>
        </patternFill>
      </fill>
      <alignment horizontal="general" vertical="top" textRotation="0" wrapText="1" indent="0" justifyLastLine="0" shrinkToFit="0" readingOrder="0"/>
      <protection locked="1" hidden="1"/>
    </dxf>
    <dxf>
      <border outline="0">
        <bottom style="thin">
          <color theme="7" tint="0.39997558519241921"/>
        </bottom>
      </border>
    </dxf>
    <dxf>
      <font>
        <b val="0"/>
        <i val="0"/>
        <strike val="0"/>
        <condense val="0"/>
        <extend val="0"/>
        <outline val="0"/>
        <shadow val="0"/>
        <u val="none"/>
        <vertAlign val="baseline"/>
        <sz val="8"/>
        <color theme="0"/>
        <name val="Calibri"/>
        <scheme val="minor"/>
      </font>
      <fill>
        <patternFill patternType="none">
          <fgColor theme="7"/>
          <bgColor auto="1"/>
        </patternFill>
      </fill>
      <alignment horizontal="general" vertical="top" textRotation="0" wrapText="0" indent="0" justifyLastLine="0" shrinkToFit="0" readingOrder="0"/>
      <protection locked="1" hidden="1"/>
    </dxf>
    <dxf>
      <font>
        <b val="0"/>
        <i val="0"/>
        <strike val="0"/>
        <condense val="0"/>
        <extend val="0"/>
        <outline val="0"/>
        <shadow val="0"/>
        <u val="none"/>
        <vertAlign val="baseline"/>
        <sz val="8"/>
        <color theme="1"/>
        <name val="Calibri"/>
        <family val="2"/>
        <scheme val="minor"/>
      </font>
      <alignment horizontal="general" textRotation="0" wrapText="0" indent="0" justifyLastLine="0" shrinkToFit="1" readingOrder="0"/>
      <protection locked="0" hidden="0"/>
    </dxf>
    <dxf>
      <font>
        <b val="0"/>
        <i val="0"/>
        <strike val="0"/>
        <condense val="0"/>
        <extend val="0"/>
        <outline val="0"/>
        <shadow val="0"/>
        <u val="none"/>
        <vertAlign val="baseline"/>
        <sz val="8"/>
        <color theme="1"/>
        <name val="Calibri"/>
        <family val="2"/>
        <scheme val="minor"/>
      </font>
      <alignment horizontal="general" textRotation="0" wrapText="0" indent="0" justifyLastLine="0" shrinkToFit="1" readingOrder="0"/>
      <protection locked="0" hidden="0"/>
    </dxf>
    <dxf>
      <font>
        <b val="0"/>
        <i val="0"/>
        <strike val="0"/>
        <condense val="0"/>
        <extend val="0"/>
        <outline val="0"/>
        <shadow val="0"/>
        <u val="none"/>
        <vertAlign val="baseline"/>
        <sz val="8"/>
        <color theme="1"/>
        <name val="Calibri"/>
        <family val="2"/>
        <scheme val="minor"/>
      </font>
      <alignment horizontal="general" textRotation="0" wrapText="0" indent="0" justifyLastLine="0" shrinkToFit="1" readingOrder="0"/>
      <protection locked="0" hidden="0"/>
    </dxf>
    <dxf>
      <font>
        <b val="0"/>
        <i val="0"/>
        <strike val="0"/>
        <condense val="0"/>
        <extend val="0"/>
        <outline val="0"/>
        <shadow val="0"/>
        <u val="none"/>
        <vertAlign val="baseline"/>
        <sz val="8"/>
        <color theme="1"/>
        <name val="Calibri"/>
        <family val="2"/>
        <scheme val="minor"/>
      </font>
      <alignment horizontal="general" textRotation="0" wrapText="0" indent="0" justifyLastLine="0" shrinkToFit="1" readingOrder="0"/>
      <protection locked="0" hidden="0"/>
    </dxf>
    <dxf>
      <font>
        <b val="0"/>
        <i val="0"/>
        <strike val="0"/>
        <condense val="0"/>
        <extend val="0"/>
        <outline val="0"/>
        <shadow val="0"/>
        <u val="none"/>
        <vertAlign val="baseline"/>
        <sz val="8"/>
        <color theme="1"/>
        <name val="Calibri"/>
        <family val="2"/>
        <scheme val="minor"/>
      </font>
      <alignment horizontal="general" textRotation="0" wrapText="0" indent="0" justifyLastLine="0" shrinkToFit="1" readingOrder="0"/>
      <border diagonalUp="0" diagonalDown="0">
        <left style="thin">
          <color indexed="64"/>
        </left>
        <right/>
        <top/>
        <bottom/>
      </border>
      <protection locked="0" hidden="0"/>
    </dxf>
    <dxf>
      <font>
        <b val="0"/>
        <i val="0"/>
        <strike val="0"/>
        <condense val="0"/>
        <extend val="0"/>
        <outline val="0"/>
        <shadow val="0"/>
        <u val="none"/>
        <vertAlign val="baseline"/>
        <sz val="8"/>
        <color theme="1"/>
        <name val="Calibri"/>
        <family val="2"/>
        <scheme val="minor"/>
      </font>
      <alignment horizontal="general" textRotation="0" wrapText="0" indent="0" justifyLastLine="0" shrinkToFit="1" readingOrder="0"/>
      <protection locked="0" hidden="0"/>
    </dxf>
    <dxf>
      <font>
        <b val="0"/>
        <i val="0"/>
        <strike val="0"/>
        <condense val="0"/>
        <extend val="0"/>
        <outline val="0"/>
        <shadow val="0"/>
        <u val="none"/>
        <vertAlign val="baseline"/>
        <sz val="8"/>
        <color theme="1"/>
        <name val="Calibri"/>
        <family val="2"/>
        <scheme val="minor"/>
      </font>
      <alignment horizontal="general" textRotation="0" wrapText="0" indent="0" justifyLastLine="0" shrinkToFit="1" readingOrder="0"/>
      <protection locked="0" hidden="0"/>
    </dxf>
    <dxf>
      <font>
        <b val="0"/>
        <i val="0"/>
        <strike val="0"/>
        <condense val="0"/>
        <extend val="0"/>
        <outline val="0"/>
        <shadow val="0"/>
        <u val="none"/>
        <vertAlign val="baseline"/>
        <sz val="8"/>
        <color theme="1"/>
        <name val="Calibri"/>
        <family val="2"/>
        <scheme val="minor"/>
      </font>
      <alignment horizontal="general" vertical="bottom" textRotation="0" wrapText="0" indent="0" justifyLastLine="0" shrinkToFit="1" readingOrder="0"/>
      <protection locked="0" hidden="0"/>
    </dxf>
    <dxf>
      <font>
        <b val="0"/>
        <i val="0"/>
        <strike val="0"/>
        <condense val="0"/>
        <extend val="0"/>
        <outline val="0"/>
        <shadow val="0"/>
        <u val="none"/>
        <vertAlign val="baseline"/>
        <sz val="8"/>
        <color theme="1"/>
        <name val="Calibri"/>
        <family val="2"/>
        <scheme val="minor"/>
      </font>
      <alignment horizontal="general" textRotation="0" wrapText="0" indent="0" justifyLastLine="0" shrinkToFit="1" readingOrder="0"/>
      <border diagonalUp="0" diagonalDown="0">
        <left style="thin">
          <color indexed="64"/>
        </left>
        <right/>
        <top/>
        <bottom/>
        <vertical/>
        <horizontal/>
      </border>
      <protection locked="0" hidden="0"/>
    </dxf>
    <dxf>
      <font>
        <b val="0"/>
        <i val="0"/>
        <strike val="0"/>
        <condense val="0"/>
        <extend val="0"/>
        <outline val="0"/>
        <shadow val="0"/>
        <u val="none"/>
        <vertAlign val="baseline"/>
        <sz val="8"/>
        <color theme="1"/>
        <name val="Calibri"/>
        <family val="2"/>
        <scheme val="minor"/>
      </font>
      <alignment horizontal="general" textRotation="0" wrapText="0" indent="0" justifyLastLine="0" shrinkToFit="1" readingOrder="0"/>
      <protection locked="0" hidden="0"/>
    </dxf>
    <dxf>
      <font>
        <b val="0"/>
        <i val="0"/>
        <strike val="0"/>
        <condense val="0"/>
        <extend val="0"/>
        <outline val="0"/>
        <shadow val="0"/>
        <u val="none"/>
        <vertAlign val="baseline"/>
        <sz val="8"/>
        <color theme="1"/>
        <name val="Calibri"/>
        <family val="2"/>
        <scheme val="minor"/>
      </font>
      <alignment horizontal="general" textRotation="0" wrapText="0" indent="0" justifyLastLine="0" shrinkToFit="1" readingOrder="0"/>
      <protection locked="0" hidden="0"/>
    </dxf>
    <dxf>
      <font>
        <b val="0"/>
        <i val="0"/>
        <strike val="0"/>
        <condense val="0"/>
        <extend val="0"/>
        <outline val="0"/>
        <shadow val="0"/>
        <u val="none"/>
        <vertAlign val="baseline"/>
        <sz val="8"/>
        <color theme="1"/>
        <name val="Calibri"/>
        <family val="2"/>
        <scheme val="minor"/>
      </font>
      <alignment horizontal="general" textRotation="0" wrapText="0" indent="0" justifyLastLine="0" shrinkToFit="1" readingOrder="0"/>
      <protection locked="0" hidden="0"/>
    </dxf>
    <dxf>
      <font>
        <b val="0"/>
        <i val="0"/>
        <strike val="0"/>
        <condense val="0"/>
        <extend val="0"/>
        <outline val="0"/>
        <shadow val="0"/>
        <u val="none"/>
        <vertAlign val="baseline"/>
        <sz val="8"/>
        <color theme="1"/>
        <name val="Calibri"/>
        <family val="2"/>
        <scheme val="minor"/>
      </font>
      <alignment horizontal="general" textRotation="0" wrapText="0" indent="0" justifyLastLine="0" shrinkToFit="1" readingOrder="0"/>
      <protection locked="0" hidden="0"/>
    </dxf>
    <dxf>
      <font>
        <b val="0"/>
        <i val="0"/>
        <strike val="0"/>
        <condense val="0"/>
        <extend val="0"/>
        <outline val="0"/>
        <shadow val="0"/>
        <u val="none"/>
        <vertAlign val="baseline"/>
        <sz val="8"/>
        <color theme="1"/>
        <name val="Calibri"/>
        <family val="2"/>
        <scheme val="minor"/>
      </font>
      <numFmt numFmtId="30" formatCode="@"/>
      <alignment horizontal="general" textRotation="0" wrapText="0" indent="0" justifyLastLine="0" shrinkToFit="1" readingOrder="0"/>
      <protection locked="0" hidden="0"/>
    </dxf>
    <dxf>
      <font>
        <b val="0"/>
        <i val="0"/>
        <strike val="0"/>
        <condense val="0"/>
        <extend val="0"/>
        <outline val="0"/>
        <shadow val="0"/>
        <u val="none"/>
        <vertAlign val="baseline"/>
        <sz val="8"/>
        <color theme="1"/>
        <name val="Calibri"/>
        <family val="2"/>
        <scheme val="minor"/>
      </font>
      <numFmt numFmtId="30" formatCode="@"/>
      <alignment horizontal="general" textRotation="0" wrapText="0" indent="0" justifyLastLine="0" shrinkToFit="1" readingOrder="0"/>
      <protection locked="0" hidden="0"/>
    </dxf>
    <dxf>
      <font>
        <b val="0"/>
        <i val="0"/>
        <strike val="0"/>
        <condense val="0"/>
        <extend val="0"/>
        <outline val="0"/>
        <shadow val="0"/>
        <u val="none"/>
        <vertAlign val="baseline"/>
        <sz val="8"/>
        <color theme="1"/>
        <name val="Calibri"/>
        <family val="2"/>
        <scheme val="minor"/>
      </font>
      <numFmt numFmtId="30" formatCode="@"/>
      <alignment horizontal="general" textRotation="0" wrapText="0" indent="0" justifyLastLine="0" shrinkToFit="1" readingOrder="0"/>
      <border diagonalUp="0" diagonalDown="0">
        <left style="thin">
          <color indexed="64"/>
        </left>
        <right/>
        <top/>
        <bottom/>
        <vertical/>
        <horizontal/>
      </border>
      <protection locked="0" hidden="0"/>
    </dxf>
    <dxf>
      <font>
        <b val="0"/>
        <i val="0"/>
        <strike val="0"/>
        <condense val="0"/>
        <extend val="0"/>
        <outline val="0"/>
        <shadow val="0"/>
        <u val="none"/>
        <vertAlign val="baseline"/>
        <sz val="8"/>
        <color theme="1"/>
        <name val="Calibri"/>
        <family val="2"/>
        <scheme val="minor"/>
      </font>
      <numFmt numFmtId="30" formatCode="@"/>
      <alignment horizontal="general" textRotation="0" wrapText="0" indent="0" justifyLastLine="0" shrinkToFit="1" readingOrder="0"/>
      <protection locked="0" hidden="0"/>
    </dxf>
    <dxf>
      <font>
        <b val="0"/>
        <i val="0"/>
        <strike val="0"/>
        <condense val="0"/>
        <extend val="0"/>
        <outline val="0"/>
        <shadow val="0"/>
        <u val="none"/>
        <vertAlign val="baseline"/>
        <sz val="8"/>
        <color theme="1"/>
        <name val="Calibri"/>
        <family val="2"/>
        <scheme val="minor"/>
      </font>
      <numFmt numFmtId="30" formatCode="@"/>
      <alignment horizontal="general" vertical="bottom" textRotation="0" wrapText="0" indent="0" justifyLastLine="0" shrinkToFit="1" readingOrder="0"/>
      <protection locked="0" hidden="0"/>
    </dxf>
    <dxf>
      <font>
        <b val="0"/>
        <i val="0"/>
        <strike val="0"/>
        <condense val="0"/>
        <extend val="0"/>
        <outline val="0"/>
        <shadow val="0"/>
        <u val="none"/>
        <vertAlign val="baseline"/>
        <sz val="8"/>
        <color theme="1"/>
        <name val="Calibri"/>
        <family val="2"/>
        <scheme val="minor"/>
      </font>
      <numFmt numFmtId="30" formatCode="@"/>
      <alignment horizontal="general" textRotation="0" wrapText="0" indent="0" justifyLastLine="0" shrinkToFit="1" readingOrder="0"/>
      <protection locked="0" hidden="0"/>
    </dxf>
    <dxf>
      <font>
        <b val="0"/>
        <i val="0"/>
        <strike val="0"/>
        <condense val="0"/>
        <extend val="0"/>
        <outline val="0"/>
        <shadow val="0"/>
        <u val="none"/>
        <vertAlign val="baseline"/>
        <sz val="8"/>
        <color theme="1"/>
        <name val="Calibri"/>
        <family val="2"/>
        <scheme val="minor"/>
      </font>
      <alignment horizontal="general" textRotation="0" wrapText="0" indent="0" justifyLastLine="0" shrinkToFit="1" readingOrder="0"/>
      <protection locked="0" hidden="0"/>
    </dxf>
    <dxf>
      <font>
        <b val="0"/>
        <i val="0"/>
        <strike val="0"/>
        <condense val="0"/>
        <extend val="0"/>
        <outline val="0"/>
        <shadow val="0"/>
        <u val="none"/>
        <vertAlign val="baseline"/>
        <sz val="8"/>
        <color theme="1"/>
        <name val="Calibri"/>
        <family val="2"/>
        <scheme val="minor"/>
      </font>
      <numFmt numFmtId="0" formatCode="General"/>
      <alignment horizontal="general" vertical="bottom" textRotation="0" wrapText="0" indent="0" justifyLastLine="0" shrinkToFit="1" readingOrder="0"/>
      <protection locked="0" hidden="0"/>
    </dxf>
    <dxf>
      <font>
        <b val="0"/>
        <i val="0"/>
        <strike val="0"/>
        <condense val="0"/>
        <extend val="0"/>
        <outline val="0"/>
        <shadow val="0"/>
        <u val="none"/>
        <vertAlign val="baseline"/>
        <sz val="8"/>
        <color theme="1"/>
        <name val="Calibri"/>
        <family val="2"/>
        <scheme val="minor"/>
      </font>
      <numFmt numFmtId="30" formatCode="@"/>
      <alignment horizontal="general" textRotation="0" wrapText="0" indent="0" justifyLastLine="0" shrinkToFit="1" readingOrder="0"/>
      <protection locked="0" hidden="0"/>
    </dxf>
    <dxf>
      <font>
        <b val="0"/>
        <i val="0"/>
        <strike val="0"/>
        <condense val="0"/>
        <extend val="0"/>
        <outline val="0"/>
        <shadow val="0"/>
        <u val="none"/>
        <vertAlign val="baseline"/>
        <sz val="8"/>
        <color theme="1"/>
        <name val="Calibri"/>
        <family val="2"/>
        <scheme val="minor"/>
      </font>
      <numFmt numFmtId="30" formatCode="@"/>
      <alignment horizontal="general" textRotation="0" wrapText="0" indent="0" justifyLastLine="0" shrinkToFit="1" readingOrder="0"/>
      <protection locked="0" hidden="0"/>
    </dxf>
    <dxf>
      <font>
        <b val="0"/>
        <i val="0"/>
        <strike val="0"/>
        <condense val="0"/>
        <extend val="0"/>
        <outline val="0"/>
        <shadow val="0"/>
        <u val="none"/>
        <vertAlign val="baseline"/>
        <sz val="8"/>
        <color theme="1"/>
        <name val="Calibri"/>
        <family val="2"/>
        <scheme val="minor"/>
      </font>
      <alignment horizontal="general" textRotation="0" wrapText="0" indent="0" justifyLastLine="0" shrinkToFit="1" readingOrder="0"/>
      <protection locked="0" hidden="0"/>
    </dxf>
    <dxf>
      <font>
        <b/>
        <i val="0"/>
        <strike val="0"/>
        <condense val="0"/>
        <extend val="0"/>
        <outline val="0"/>
        <shadow val="0"/>
        <u val="none"/>
        <vertAlign val="baseline"/>
        <sz val="8"/>
        <color auto="1"/>
        <name val="Calibri"/>
        <family val="2"/>
        <scheme val="minor"/>
      </font>
      <fill>
        <patternFill patternType="solid">
          <fgColor indexed="64"/>
          <bgColor theme="0" tint="-0.14999847407452621"/>
        </patternFill>
      </fill>
      <alignment horizontal="left" vertical="top" textRotation="0" wrapText="0" indent="0" justifyLastLine="0" shrinkToFit="0" readingOrder="0"/>
      <protection locked="1" hidden="1"/>
    </dxf>
  </dxfs>
  <tableStyles count="0" defaultTableStyle="TableStyleMedium2" defaultPivotStyle="PivotStyleLight16"/>
  <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eetMetadata" Target="metadata.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17</xdr:col>
      <xdr:colOff>0</xdr:colOff>
      <xdr:row>0</xdr:row>
      <xdr:rowOff>0</xdr:rowOff>
    </xdr:from>
    <xdr:to>
      <xdr:col>17</xdr:col>
      <xdr:colOff>0</xdr:colOff>
      <xdr:row>1</xdr:row>
      <xdr:rowOff>240323</xdr:rowOff>
    </xdr:to>
    <xdr:pic>
      <xdr:nvPicPr>
        <xdr:cNvPr id="2" name="Picture 17" descr="LOGOTIPO" hidden="1">
          <a:extLst>
            <a:ext uri="{FF2B5EF4-FFF2-40B4-BE49-F238E27FC236}">
              <a16:creationId xmlns:a16="http://schemas.microsoft.com/office/drawing/2014/main" id="{00000000-0008-0000-0000-000002000000}"/>
            </a:ext>
          </a:extLst>
        </xdr:cNvPr>
        <xdr:cNvPicPr>
          <a:picLocks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430375" y="0"/>
          <a:ext cx="810358" cy="440348"/>
        </a:xfrm>
        <a:prstGeom prst="rect">
          <a:avLst/>
        </a:prstGeom>
        <a:noFill/>
        <a:ln w="9525">
          <a:solidFill>
            <a:srgbClr val="000000"/>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tblT2SZ" displayName="tblT2SZ" ref="A26:W50" totalsRowShown="0" headerRowDxfId="68" dataDxfId="67">
  <autoFilter ref="A26:W50" xr:uid="{00000000-0009-0000-0100-000002000000}"/>
  <tableColumns count="23">
    <tableColumn id="2" xr3:uid="{00000000-0010-0000-0000-000002000000}" name="FlagVesCd" dataDxfId="66"/>
    <tableColumn id="3" xr3:uid="{00000000-0010-0000-0000-000003000000}" name="FleetSuffix" dataDxfId="65"/>
    <tableColumn id="1" xr3:uid="{00000000-0010-0000-0000-000001000000}" name="YearC" dataDxfId="64"/>
    <tableColumn id="5" xr3:uid="{00000000-0010-0000-0000-000005000000}" name="Month" dataDxfId="63"/>
    <tableColumn id="6" xr3:uid="{00000000-0010-0000-0000-000006000000}" name="GearCd" dataDxfId="62"/>
    <tableColumn id="4" xr3:uid="{00000000-0010-0000-0000-000004000000}" name="CatchTypeCd" dataDxfId="61"/>
    <tableColumn id="7" xr3:uid="{00000000-0010-0000-0000-000007000000}" name="SchoolTypCd" dataDxfId="60"/>
    <tableColumn id="8" xr3:uid="{00000000-0010-0000-0000-000008000000}" name="SaAreaCd" dataDxfId="59"/>
    <tableColumn id="9" xr3:uid="{00000000-0010-0000-0000-000009000000}" name="GeoGridCd" dataDxfId="58"/>
    <tableColumn id="10" xr3:uid="{00000000-0010-0000-0000-00000A000000}" name="QuadCd" dataDxfId="57"/>
    <tableColumn id="11" xr3:uid="{00000000-0010-0000-0000-00000B000000}" name="Lat" dataDxfId="56"/>
    <tableColumn id="12" xr3:uid="{00000000-0010-0000-0000-00000C000000}" name="Lon" dataDxfId="55"/>
    <tableColumn id="13" xr3:uid="{00000000-0010-0000-0000-00000D000000}" name="DSourceCd" dataDxfId="54"/>
    <tableColumn id="14" xr3:uid="{00000000-0010-0000-0000-00000E000000}" name="TotCatchW" dataDxfId="53"/>
    <tableColumn id="15" xr3:uid="{00000000-0010-0000-0000-00000F000000}" name="SampleID" dataDxfId="52"/>
    <tableColumn id="16" xr3:uid="{00000000-0010-0000-0000-000010000000}" name="MonthSamp" dataDxfId="51"/>
    <tableColumn id="17" xr3:uid="{00000000-0010-0000-0000-000011000000}" name="FishSaW" dataDxfId="50"/>
    <tableColumn id="18" xr3:uid="{00000000-0010-0000-0000-000012000000}" name="FishSaN" dataDxfId="49"/>
    <tableColumn id="19" xr3:uid="{00000000-0010-0000-0000-000013000000}" name="szClass" dataDxfId="48"/>
    <tableColumn id="20" xr3:uid="{00000000-0010-0000-0000-000014000000}" name="NoUs" dataDxfId="47"/>
    <tableColumn id="21" xr3:uid="{00000000-0010-0000-0000-000015000000}" name="NoMs" dataDxfId="46"/>
    <tableColumn id="22" xr3:uid="{00000000-0010-0000-0000-000016000000}" name="NoFs" dataDxfId="45"/>
    <tableColumn id="23" xr3:uid="{00000000-0010-0000-0000-000017000000}" name="NoIs" dataDxfId="44"/>
  </tableColumns>
  <tableStyleInfo name="TableStyleLight1" showFirstColumn="0" showLastColumn="0" showRowStripes="0" showColumnStripes="1"/>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tblTrans3Langs" displayName="tblTrans3Langs" ref="A4:M96" totalsRowShown="0" headerRowDxfId="43" dataDxfId="41" headerRowBorderDxfId="42" tableBorderDxfId="40" dataCellStyle="Normal 2">
  <autoFilter ref="A4:M96" xr:uid="{00000000-0009-0000-0100-000001000000}"/>
  <tableColumns count="13">
    <tableColumn id="1" xr3:uid="{00000000-0010-0000-0100-000001000000}" name="FieldID" dataDxfId="39"/>
    <tableColumn id="2" xr3:uid="{00000000-0010-0000-0100-000002000000}" name="OrderID" dataDxfId="38"/>
    <tableColumn id="7" xr3:uid="{D2B7D059-E788-4A45-ADE8-10B56476311C}" name="FormID" dataDxfId="37"/>
    <tableColumn id="3" xr3:uid="{00000000-0010-0000-0100-000003000000}" name="SubFormID" dataDxfId="36"/>
    <tableColumn id="4" xr3:uid="{00000000-0010-0000-0100-000004000000}" name="Section" dataDxfId="35" dataCellStyle="Normal 2"/>
    <tableColumn id="5" xr3:uid="{00000000-0010-0000-0100-000005000000}" name="Item" dataDxfId="34"/>
    <tableColumn id="6" xr3:uid="{00000000-0010-0000-0100-000006000000}" name="FieldType" dataDxfId="33"/>
    <tableColumn id="8" xr3:uid="{00000000-0010-0000-0100-000008000000}" name="FldNameEN" dataDxfId="32" dataCellStyle="Normal 2"/>
    <tableColumn id="9" xr3:uid="{00000000-0010-0000-0100-000009000000}" name="FldNameFR" dataDxfId="31" dataCellStyle="Normal 2"/>
    <tableColumn id="10" xr3:uid="{00000000-0010-0000-0100-00000A000000}" name="FldNameES" dataDxfId="30" dataCellStyle="Normal 2"/>
    <tableColumn id="11" xr3:uid="{00000000-0010-0000-0100-00000B000000}" name="FldInstructEN" dataDxfId="29" dataCellStyle="Normal 2"/>
    <tableColumn id="12" xr3:uid="{00000000-0010-0000-0100-00000C000000}" name="FldInstructFR" dataDxfId="28" dataCellStyle="Normal 2"/>
    <tableColumn id="13" xr3:uid="{00000000-0010-0000-0100-00000D000000}" name="FldInstructES" dataDxfId="27" dataCellStyle="Normal 2"/>
  </tableColumns>
  <tableStyleInfo name="TableStyleMedium5"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rgb="FF00B0F0"/>
    <pageSetUpPr fitToPage="1"/>
  </sheetPr>
  <dimension ref="A1:W50"/>
  <sheetViews>
    <sheetView tabSelected="1" zoomScale="115" zoomScaleNormal="115" workbookViewId="0">
      <selection activeCell="R2" sqref="R2"/>
    </sheetView>
  </sheetViews>
  <sheetFormatPr defaultColWidth="10.75" defaultRowHeight="11.55" x14ac:dyDescent="0.2"/>
  <cols>
    <col min="1" max="1" width="10.25" style="2" customWidth="1"/>
    <col min="2" max="2" width="17.75" style="2" bestFit="1" customWidth="1"/>
    <col min="3" max="3" width="9.25" style="2" customWidth="1"/>
    <col min="4" max="4" width="8.75" style="2" customWidth="1"/>
    <col min="5" max="5" width="8.5" style="2" bestFit="1" customWidth="1"/>
    <col min="6" max="6" width="8.75" style="2" customWidth="1"/>
    <col min="7" max="7" width="10.5" style="2" bestFit="1" customWidth="1"/>
    <col min="8" max="8" width="9.5" style="2" bestFit="1" customWidth="1"/>
    <col min="9" max="10" width="8.5" style="2" customWidth="1"/>
    <col min="11" max="12" width="8" style="2" customWidth="1"/>
    <col min="13" max="13" width="9.75" style="2" customWidth="1"/>
    <col min="14" max="14" width="9" style="2" customWidth="1"/>
    <col min="15" max="15" width="8.75" style="2" customWidth="1"/>
    <col min="16" max="16" width="8.875" style="2" customWidth="1"/>
    <col min="17" max="17" width="8.75" style="2" bestFit="1" customWidth="1"/>
    <col min="18" max="18" width="10.25" style="2" customWidth="1"/>
    <col min="19" max="19" width="7.5" style="2" bestFit="1" customWidth="1"/>
    <col min="20" max="20" width="6.75" style="2" bestFit="1" customWidth="1"/>
    <col min="21" max="21" width="7.125" style="2" bestFit="1" customWidth="1"/>
    <col min="22" max="22" width="6.5" style="2" bestFit="1" customWidth="1"/>
    <col min="23" max="23" width="6.125" style="2" bestFit="1" customWidth="1"/>
    <col min="24" max="16384" width="10.75" style="2"/>
  </cols>
  <sheetData>
    <row r="1" spans="1:18" s="1" customFormat="1" ht="20.399999999999999" x14ac:dyDescent="0.2">
      <c r="A1" s="298" t="str">
        <f>VLOOKUP("T00",tblTrans3Langs[],LangFieldID,FALSE)</f>
        <v>ST04-T2SZ</v>
      </c>
      <c r="B1" s="299"/>
      <c r="C1" s="284" t="str">
        <f>VLOOKUP("T00",tblTrans3Langs[],LangNameID,FALSE)</f>
        <v>TASK 2 - SIZE SAMPLING (tunas and sharks)</v>
      </c>
      <c r="D1" s="284"/>
      <c r="E1" s="284"/>
      <c r="F1" s="284"/>
      <c r="G1" s="284"/>
      <c r="H1" s="284"/>
      <c r="I1" s="284"/>
      <c r="J1" s="284"/>
      <c r="K1" s="284"/>
      <c r="L1" s="284"/>
      <c r="M1" s="284"/>
      <c r="N1" s="284"/>
      <c r="O1" s="284"/>
      <c r="P1" s="284"/>
      <c r="Q1" s="37" t="str">
        <f>VLOOKUP("tVersion",tblTrans3Langs[],LangFieldID,FALSE)</f>
        <v>Version</v>
      </c>
      <c r="R1" s="64" t="str">
        <f>VLOOKUP("tLang",tblTrans3Langs[],LangFieldID,FALSE)</f>
        <v>Language</v>
      </c>
    </row>
    <row r="2" spans="1:18" s="1" customFormat="1" x14ac:dyDescent="0.2">
      <c r="A2" s="300"/>
      <c r="B2" s="301"/>
      <c r="C2" s="285" t="str">
        <f>VLOOKUP("T01",tblTrans3Langs[],LangFieldID,FALSE)&amp;": "&amp;VLOOKUP("T01",tblTrans3Langs[],LangNameID,FALSE)</f>
        <v>ICCAT: INTERNATIONAL COMMISSION FOR THE CONSERVATION OF ATLANTIC TUNAS</v>
      </c>
      <c r="D2" s="285"/>
      <c r="E2" s="285"/>
      <c r="F2" s="285"/>
      <c r="G2" s="285"/>
      <c r="H2" s="285"/>
      <c r="I2" s="285"/>
      <c r="J2" s="285"/>
      <c r="K2" s="285"/>
      <c r="L2" s="285"/>
      <c r="M2" s="285"/>
      <c r="N2" s="285"/>
      <c r="O2" s="285"/>
      <c r="P2" s="285"/>
      <c r="Q2" s="200" t="s">
        <v>2625</v>
      </c>
      <c r="R2" s="36" t="s">
        <v>2015</v>
      </c>
    </row>
    <row r="3" spans="1:18" s="1" customFormat="1" x14ac:dyDescent="0.2"/>
    <row r="4" spans="1:18" s="102" customFormat="1" ht="10.9" x14ac:dyDescent="0.2">
      <c r="A4" s="309" t="str">
        <f>VLOOKUP("H10",tblTrans3Langs[],LangFieldID,FALSE)</f>
        <v>Statistical Correspondent</v>
      </c>
      <c r="B4" s="310"/>
      <c r="C4" s="310"/>
      <c r="D4" s="310"/>
      <c r="E4" s="310"/>
      <c r="F4" s="310"/>
      <c r="G4" s="310"/>
      <c r="H4" s="310"/>
      <c r="I4" s="310"/>
      <c r="J4" s="100" t="str">
        <f>IF(AND(C5&gt;0,C6&gt;0,G6&gt;0,C7&gt;0,C8&gt;0,C9&gt;0,G9&gt;0),"ok","inc")</f>
        <v>inc</v>
      </c>
      <c r="K4" s="288" t="str">
        <f>VLOOKUP("H20",tblTrans3Langs[],LangFieldID,FALSE)</f>
        <v>Secretariat use only</v>
      </c>
      <c r="L4" s="289"/>
      <c r="M4" s="289"/>
      <c r="N4" s="289"/>
      <c r="O4" s="289"/>
      <c r="P4" s="101"/>
      <c r="Q4" s="286" t="str">
        <f>VLOOKUP("H21",tblTrans3Langs[],LangFieldID,FALSE)</f>
        <v>Filtering criteria</v>
      </c>
      <c r="R4" s="287"/>
    </row>
    <row r="5" spans="1:18" s="102" customFormat="1" ht="10.9" x14ac:dyDescent="0.2">
      <c r="A5" s="148" t="str">
        <f>VLOOKUP("H11",tblTrans3Langs[],LangFieldID,FALSE)</f>
        <v>Identification</v>
      </c>
      <c r="B5" s="163" t="str">
        <f>VLOOKUP("hName",tblTrans3Langs[],LangFieldID,FALSE)</f>
        <v>Name</v>
      </c>
      <c r="C5" s="267"/>
      <c r="D5" s="267"/>
      <c r="E5" s="267"/>
      <c r="F5" s="267"/>
      <c r="G5" s="267"/>
      <c r="H5" s="267"/>
      <c r="I5" s="267"/>
      <c r="J5" s="166"/>
      <c r="K5" s="295" t="str">
        <f>VLOOKUP("hDaterep",tblTrans3Langs[],LangFieldID,FALSE)</f>
        <v>Date reported</v>
      </c>
      <c r="L5" s="296"/>
      <c r="M5" s="290"/>
      <c r="N5" s="290"/>
      <c r="O5" s="103"/>
      <c r="P5" s="104"/>
      <c r="Q5" s="105" t="str">
        <f>VLOOKUP("hFilter1",tblTrans3Langs[],LangFieldID,FALSE)</f>
        <v>Filter 1</v>
      </c>
      <c r="R5" s="143" t="str">
        <f>VLOOKUP("hFilter2",tblTrans3Langs[],LangFieldID,FALSE)</f>
        <v>Filter 2</v>
      </c>
    </row>
    <row r="6" spans="1:18" s="102" customFormat="1" ht="10.9" x14ac:dyDescent="0.2">
      <c r="A6" s="165"/>
      <c r="B6" s="163" t="str">
        <f>VLOOKUP("hEmail",tblTrans3Langs[],LangFieldID,FALSE)</f>
        <v>E-mail</v>
      </c>
      <c r="C6" s="308"/>
      <c r="D6" s="308"/>
      <c r="E6" s="308"/>
      <c r="F6" s="163" t="str">
        <f>VLOOKUP("hPhone",tblTrans3Langs[],LangFieldID,FALSE)</f>
        <v>Phone</v>
      </c>
      <c r="G6" s="311"/>
      <c r="H6" s="311"/>
      <c r="I6" s="311"/>
      <c r="J6" s="106" t="s">
        <v>2262</v>
      </c>
      <c r="K6" s="295" t="str">
        <f>VLOOKUP("hRef",tblTrans3Langs[],LangFieldID,FALSE)</f>
        <v>Reference Nº</v>
      </c>
      <c r="L6" s="296"/>
      <c r="M6" s="297"/>
      <c r="N6" s="297"/>
      <c r="O6" s="107"/>
      <c r="P6" s="108" t="s">
        <v>731</v>
      </c>
      <c r="Q6" s="109">
        <v>0</v>
      </c>
      <c r="R6" s="109">
        <v>0</v>
      </c>
    </row>
    <row r="7" spans="1:18" s="102" customFormat="1" ht="10.9" x14ac:dyDescent="0.2">
      <c r="A7" s="148" t="str">
        <f>VLOOKUP("H12",tblTrans3Langs[],LangFieldID,FALSE)</f>
        <v>Affiliation</v>
      </c>
      <c r="B7" s="163" t="str">
        <f>VLOOKUP("hInstit",tblTrans3Langs[],LangFieldID,FALSE)</f>
        <v>Institution</v>
      </c>
      <c r="C7" s="267"/>
      <c r="D7" s="267"/>
      <c r="E7" s="267"/>
      <c r="F7" s="267"/>
      <c r="G7" s="166"/>
      <c r="H7" s="166"/>
      <c r="I7" s="169"/>
      <c r="J7" s="169"/>
      <c r="K7" s="304" t="s">
        <v>2225</v>
      </c>
      <c r="L7" s="265"/>
      <c r="M7" s="149"/>
      <c r="N7" s="169"/>
      <c r="O7" s="169"/>
      <c r="P7" s="108" t="s">
        <v>732</v>
      </c>
      <c r="Q7" s="109">
        <v>0</v>
      </c>
      <c r="R7" s="109">
        <v>0</v>
      </c>
    </row>
    <row r="8" spans="1:18" s="102" customFormat="1" ht="10.9" x14ac:dyDescent="0.2">
      <c r="A8" s="162"/>
      <c r="B8" s="163" t="str">
        <f>VLOOKUP("hDepart",tblTrans3Langs[],LangFieldID,FALSE)</f>
        <v>Department</v>
      </c>
      <c r="C8" s="267"/>
      <c r="D8" s="267"/>
      <c r="E8" s="267"/>
      <c r="F8" s="267"/>
      <c r="G8" s="166"/>
      <c r="H8" s="166"/>
      <c r="I8" s="169"/>
      <c r="J8" s="166"/>
      <c r="K8" s="291" t="str">
        <f>VLOOKUP("hFname",tblTrans3Langs[],LangFieldID,FALSE)</f>
        <v>File name (proposed)</v>
      </c>
      <c r="L8" s="292"/>
      <c r="M8" s="292"/>
      <c r="N8" s="292"/>
      <c r="O8" s="292"/>
      <c r="P8" s="108" t="s">
        <v>733</v>
      </c>
      <c r="Q8" s="109">
        <v>0</v>
      </c>
      <c r="R8" s="109">
        <v>0</v>
      </c>
    </row>
    <row r="9" spans="1:18" s="102" customFormat="1" ht="10.9" x14ac:dyDescent="0.2">
      <c r="A9" s="162"/>
      <c r="B9" s="163" t="str">
        <f>VLOOKUP("hAddress",tblTrans3Langs[],LangFieldID,FALSE)</f>
        <v>Address</v>
      </c>
      <c r="C9" s="267"/>
      <c r="D9" s="267"/>
      <c r="E9" s="267"/>
      <c r="F9" s="110" t="str">
        <f>VLOOKUP("hCountry",tblTrans3Langs[],LangFieldID,FALSE)</f>
        <v>Country</v>
      </c>
      <c r="G9" s="267"/>
      <c r="H9" s="267"/>
      <c r="I9" s="267"/>
      <c r="J9" s="166"/>
      <c r="K9" s="293" t="str">
        <f>IF(AND(J4="ok",J11="ok"),"ST04_"&amp;E12&amp;"-"&amp;C14&amp;C13&amp;"-"&amp;RIGHT(E13,2)&amp;LEFT(C17,1)&amp;"-"&amp;LEFT(C19,2)&amp;"#"&amp;M6&amp;".xlsx","")</f>
        <v/>
      </c>
      <c r="L9" s="294"/>
      <c r="M9" s="294"/>
      <c r="N9" s="294"/>
      <c r="O9" s="294"/>
      <c r="P9" s="108" t="s">
        <v>734</v>
      </c>
      <c r="Q9" s="140"/>
      <c r="R9" s="140"/>
    </row>
    <row r="10" spans="1:18" s="102" customFormat="1" ht="10.9" x14ac:dyDescent="0.25">
      <c r="A10" s="111"/>
      <c r="B10" s="112"/>
      <c r="C10" s="112"/>
      <c r="D10" s="112"/>
      <c r="E10" s="112"/>
      <c r="F10" s="112"/>
      <c r="G10" s="112"/>
      <c r="H10" s="112"/>
      <c r="I10" s="113"/>
      <c r="J10" s="113"/>
      <c r="K10" s="114"/>
      <c r="L10" s="113"/>
      <c r="M10" s="113"/>
      <c r="N10" s="113"/>
      <c r="O10" s="113"/>
      <c r="P10" s="113"/>
      <c r="Q10" s="141"/>
      <c r="R10" s="141"/>
    </row>
    <row r="11" spans="1:18" s="102" customFormat="1" ht="10.9" x14ac:dyDescent="0.25">
      <c r="A11" s="309" t="str">
        <f>VLOOKUP("H30",tblTrans3Langs[],LangFieldID,FALSE)</f>
        <v>Data set characteristics</v>
      </c>
      <c r="B11" s="310"/>
      <c r="C11" s="310"/>
      <c r="D11" s="310"/>
      <c r="E11" s="310"/>
      <c r="F11" s="310"/>
      <c r="G11" s="310"/>
      <c r="H11" s="310"/>
      <c r="I11" s="310"/>
      <c r="J11" s="100" t="str">
        <f>IF(E12="","inc",IF(AND(C13&gt;0,E13&gt;0,C14&gt;0,C17&gt;0,C18&gt;0, C15&gt;0,H13&gt;0,H14&gt;0,H15&gt;0,H17&gt;0,H18&gt;0,H19&gt;0),"ok","inc"))</f>
        <v>inc</v>
      </c>
      <c r="K11" s="115" t="str">
        <f>VLOOKUP("hNotes",tblTrans3Langs[],LangFieldID,FALSE)</f>
        <v>Notes</v>
      </c>
      <c r="L11" s="167"/>
      <c r="M11" s="167"/>
      <c r="N11" s="167"/>
      <c r="O11" s="167"/>
      <c r="P11" s="167"/>
      <c r="Q11" s="167"/>
      <c r="R11" s="168"/>
    </row>
    <row r="12" spans="1:18" s="102" customFormat="1" ht="10.9" x14ac:dyDescent="0.25">
      <c r="A12" s="302" t="str">
        <f>VLOOKUP("hFlagrep",tblTrans3Langs[],LangFieldID,FALSE)</f>
        <v>Reporting Flag</v>
      </c>
      <c r="B12" s="266"/>
      <c r="C12" s="267"/>
      <c r="D12" s="267"/>
      <c r="E12" s="136" t="str">
        <f>IFERROR(IF(C12&gt;0,VLOOKUP(C12,Codes!A3:B175,2,FALSE),""),"")</f>
        <v/>
      </c>
      <c r="F12" s="269" t="str">
        <f>VLOOKUP("H32",tblTrans3Langs[],LangFieldID,FALSE)</f>
        <v>Sampling attributes</v>
      </c>
      <c r="G12" s="269"/>
      <c r="H12" s="269"/>
      <c r="I12" s="169"/>
      <c r="J12" s="166"/>
      <c r="K12" s="267"/>
      <c r="L12" s="267"/>
      <c r="M12" s="267"/>
      <c r="N12" s="267"/>
      <c r="O12" s="267"/>
      <c r="P12" s="267"/>
      <c r="Q12" s="267"/>
      <c r="R12" s="268"/>
    </row>
    <row r="13" spans="1:18" s="102" customFormat="1" ht="10.9" x14ac:dyDescent="0.25">
      <c r="A13" s="312" t="str">
        <f>VLOOKUP("hYearfrom",tblTrans3Langs[#Data],LangFieldID,FALSE)</f>
        <v>Years covered (from)</v>
      </c>
      <c r="B13" s="313"/>
      <c r="C13" s="137"/>
      <c r="D13" s="128" t="str">
        <f>VLOOKUP("hYearto",tblTrans3Langs[#Data],LangFieldID,FALSE)</f>
        <v>(to)</v>
      </c>
      <c r="E13" s="137"/>
      <c r="F13" s="266" t="str">
        <f>VLOOKUP("hLocationCd",tblTrans3Langs[],LangFieldID,FALSE)</f>
        <v>Location (cod)</v>
      </c>
      <c r="G13" s="266"/>
      <c r="H13" s="164"/>
      <c r="I13" s="166" t="str">
        <f>IF(H13&gt;0,VLOOKUP(H13,Codes!U80:V85,2,FALSE),"")</f>
        <v/>
      </c>
      <c r="J13" s="166"/>
      <c r="K13" s="267"/>
      <c r="L13" s="267"/>
      <c r="M13" s="267"/>
      <c r="N13" s="267"/>
      <c r="O13" s="267"/>
      <c r="P13" s="267"/>
      <c r="Q13" s="267"/>
      <c r="R13" s="268"/>
    </row>
    <row r="14" spans="1:18" s="102" customFormat="1" ht="10.9" x14ac:dyDescent="0.2">
      <c r="A14" s="162"/>
      <c r="B14" s="160" t="str">
        <f>VLOOKUP("hSpeciesCd",tblTrans3Langs[],LangFieldID,FALSE)</f>
        <v>Species (cod)</v>
      </c>
      <c r="C14" s="164"/>
      <c r="D14" s="303" t="str">
        <f>IF(C14&gt;0,VLOOKUP(C14,Codes!$H$3:$L$109,2,FALSE),"")</f>
        <v/>
      </c>
      <c r="E14" s="303"/>
      <c r="F14" s="266" t="str">
        <f>VLOOKUP("hSampunit",tblTrans3Langs[],LangFieldID,FALSE)</f>
        <v>Samp unit (cod)</v>
      </c>
      <c r="G14" s="266"/>
      <c r="H14" s="164"/>
      <c r="I14" s="166" t="str">
        <f>IF(H14&gt;0,VLOOKUP(H14,Codes!U56:V64,2,FALSE),"")</f>
        <v/>
      </c>
      <c r="J14" s="166"/>
      <c r="K14" s="267"/>
      <c r="L14" s="267"/>
      <c r="M14" s="267"/>
      <c r="N14" s="267"/>
      <c r="O14" s="267"/>
      <c r="P14" s="267"/>
      <c r="Q14" s="267"/>
      <c r="R14" s="268"/>
    </row>
    <row r="15" spans="1:18" s="102" customFormat="1" ht="11.25" customHeight="1" x14ac:dyDescent="0.2">
      <c r="A15" s="263" t="str">
        <f>VLOOKUP("H31",tblTrans3Langs[],LangFieldID,FALSE)</f>
        <v>Catch attributes</v>
      </c>
      <c r="B15" s="160" t="str">
        <f>VLOOKUP("hProdTypeCd",tblTrans3Langs[],LangFieldID,FALSE)</f>
        <v>Product type</v>
      </c>
      <c r="C15" s="164"/>
      <c r="D15" s="166" t="str">
        <f>IF(C15&gt;0,VLOOKUP(C15,Codes!$Y$25:$Z$31,2,FALSE),"")</f>
        <v/>
      </c>
      <c r="E15" s="161"/>
      <c r="F15" s="265" t="str">
        <f>VLOOKUP("hRaisedSuYN",tblTrans3Langs[],LangFieldID,FALSE)</f>
        <v>Raised (SU) ?</v>
      </c>
      <c r="G15" s="265"/>
      <c r="H15" s="164"/>
      <c r="I15" s="166"/>
      <c r="J15" s="166"/>
      <c r="K15" s="267"/>
      <c r="L15" s="267"/>
      <c r="M15" s="267"/>
      <c r="N15" s="267"/>
      <c r="O15" s="267"/>
      <c r="P15" s="267"/>
      <c r="Q15" s="267"/>
      <c r="R15" s="268"/>
    </row>
    <row r="16" spans="1:18" s="102" customFormat="1" ht="10.9" x14ac:dyDescent="0.2">
      <c r="A16" s="263"/>
      <c r="B16" s="166"/>
      <c r="C16" s="166"/>
      <c r="D16" s="166"/>
      <c r="E16" s="161"/>
      <c r="F16" s="264" t="str">
        <f>VLOOKUP("H33",tblTrans3Langs[],LangFieldID,FALSE)</f>
        <v>Frequency type attributes</v>
      </c>
      <c r="G16" s="264"/>
      <c r="H16" s="264"/>
      <c r="I16" s="166"/>
      <c r="J16" s="166"/>
      <c r="K16" s="267"/>
      <c r="L16" s="267"/>
      <c r="M16" s="267"/>
      <c r="N16" s="267"/>
      <c r="O16" s="267"/>
      <c r="P16" s="267"/>
      <c r="Q16" s="267"/>
      <c r="R16" s="268"/>
    </row>
    <row r="17" spans="1:23" s="102" customFormat="1" ht="11.25" customHeight="1" x14ac:dyDescent="0.25">
      <c r="A17" s="302" t="str">
        <f>VLOOKUP("hVersion",tblTrans3Langs[],LangFieldID,FALSE)</f>
        <v>Version reported</v>
      </c>
      <c r="B17" s="266"/>
      <c r="C17" s="267"/>
      <c r="D17" s="267"/>
      <c r="E17" s="166"/>
      <c r="F17" s="266" t="str">
        <f>VLOOKUP("hFreqType",tblTrans3Langs[],LangFieldID,FALSE)</f>
        <v>Frequency type (cod)</v>
      </c>
      <c r="G17" s="266"/>
      <c r="H17" s="164"/>
      <c r="I17" s="166" t="str">
        <f>IF(H17&gt;0,VLOOKUP(H17,Codes!$Y$12:$Z$21,2,FALSE),"")</f>
        <v/>
      </c>
      <c r="J17" s="166"/>
      <c r="K17" s="267"/>
      <c r="L17" s="267"/>
      <c r="M17" s="267"/>
      <c r="N17" s="267"/>
      <c r="O17" s="267"/>
      <c r="P17" s="267"/>
      <c r="Q17" s="267"/>
      <c r="R17" s="268"/>
    </row>
    <row r="18" spans="1:23" s="102" customFormat="1" ht="10.9" x14ac:dyDescent="0.25">
      <c r="A18" s="306" t="str">
        <f>VLOOKUP("hContent",tblTrans3Langs[],LangFieldID,FALSE)</f>
        <v>Content (data)</v>
      </c>
      <c r="B18" s="307"/>
      <c r="C18" s="305"/>
      <c r="D18" s="305"/>
      <c r="E18" s="166"/>
      <c r="F18" s="265" t="str">
        <f>VLOOKUP("hSzinterval",tblTrans3Langs[],LangFieldID,FALSE)</f>
        <v>Interval</v>
      </c>
      <c r="G18" s="265"/>
      <c r="H18" s="164"/>
      <c r="I18" s="166" t="str">
        <f>IF(H17="WGT","kg",IF(H17&gt;0,"cm",""))</f>
        <v/>
      </c>
      <c r="J18" s="169"/>
      <c r="K18" s="267"/>
      <c r="L18" s="267"/>
      <c r="M18" s="267"/>
      <c r="N18" s="267"/>
      <c r="O18" s="267"/>
      <c r="P18" s="267"/>
      <c r="Q18" s="267"/>
      <c r="R18" s="268"/>
    </row>
    <row r="19" spans="1:23" s="102" customFormat="1" ht="10.9" x14ac:dyDescent="0.25">
      <c r="A19" s="116"/>
      <c r="B19" s="157"/>
      <c r="C19" s="314" t="str">
        <f>IF(C18&gt;0,VLOOKUP(C18,Codes!$Y$58:$AA$61,3,FALSE)&amp;": "&amp;VLOOKUP(C18,Codes!$Y$58:$AA$61,2,FALSE),"")</f>
        <v/>
      </c>
      <c r="D19" s="314"/>
      <c r="E19" s="314"/>
      <c r="F19" s="314"/>
      <c r="G19" s="147" t="str">
        <f>VLOOKUP("hSzclasslim",tblTrans3Langs[],LangFieldID,FALSE)</f>
        <v>Class limit</v>
      </c>
      <c r="H19" s="121"/>
      <c r="I19" s="157" t="str">
        <f>IF(H19&gt;0,VLOOKUP(H19,Codes!Y36:Z39,2,FALSE),"")</f>
        <v/>
      </c>
      <c r="J19" s="157"/>
      <c r="K19" s="157"/>
      <c r="L19" s="157"/>
      <c r="M19" s="157"/>
      <c r="N19" s="157"/>
      <c r="O19" s="157"/>
      <c r="P19" s="157"/>
      <c r="Q19" s="157"/>
      <c r="R19" s="142"/>
    </row>
    <row r="20" spans="1:23" s="102" customFormat="1" ht="10.9" x14ac:dyDescent="0.25">
      <c r="A20" s="117"/>
      <c r="B20" s="117"/>
      <c r="C20" s="117"/>
      <c r="D20" s="117"/>
      <c r="E20" s="117"/>
      <c r="F20" s="117"/>
      <c r="G20" s="117"/>
      <c r="H20" s="117"/>
      <c r="I20" s="117"/>
      <c r="J20" s="117"/>
      <c r="K20" s="117"/>
      <c r="L20" s="117"/>
      <c r="M20" s="117"/>
      <c r="N20" s="117"/>
      <c r="O20" s="117"/>
      <c r="P20" s="117"/>
      <c r="Q20" s="117"/>
      <c r="R20" s="117"/>
    </row>
    <row r="21" spans="1:23" s="118" customFormat="1" ht="10.9" x14ac:dyDescent="0.25">
      <c r="A21" s="283" t="str">
        <f>VLOOKUP("D10",tblTrans3Langs[],LangFieldID,FALSE)</f>
        <v>Sample attributes</v>
      </c>
      <c r="B21" s="283"/>
      <c r="C21" s="283"/>
      <c r="D21" s="283"/>
      <c r="E21" s="283"/>
      <c r="F21" s="283"/>
      <c r="G21" s="283"/>
      <c r="H21" s="283"/>
      <c r="I21" s="283"/>
      <c r="J21" s="283"/>
      <c r="K21" s="283"/>
      <c r="L21" s="283"/>
      <c r="M21" s="283"/>
      <c r="N21" s="283"/>
      <c r="O21" s="283"/>
      <c r="P21" s="283"/>
      <c r="Q21" s="283"/>
      <c r="R21" s="283"/>
      <c r="S21" s="276" t="str">
        <f>VLOOKUP("D20",tblTrans3Langs[],LangFieldID,FALSE)</f>
        <v>Size frequency details</v>
      </c>
      <c r="T21" s="277"/>
      <c r="U21" s="277"/>
      <c r="V21" s="277"/>
      <c r="W21" s="278"/>
    </row>
    <row r="22" spans="1:23" s="118" customFormat="1" ht="10.9" x14ac:dyDescent="0.25">
      <c r="A22" s="279" t="str">
        <f>IF(LEN(E12)&gt;0, VLOOKUP("D11",tblTrans3Langs[],LangFieldID,FALSE)&amp; " (" &amp; E12 &amp;")", VLOOKUP("D11",tblTrans3Langs[],LangFieldID,FALSE))</f>
        <v>Fleet ID</v>
      </c>
      <c r="B22" s="279"/>
      <c r="C22" s="279" t="str">
        <f>VLOOKUP("D12",tblTrans3Langs[],LangFieldID,FALSE)</f>
        <v>Catch strata associated to samples</v>
      </c>
      <c r="D22" s="279"/>
      <c r="E22" s="279"/>
      <c r="F22" s="279"/>
      <c r="G22" s="279"/>
      <c r="H22" s="279"/>
      <c r="I22" s="279"/>
      <c r="J22" s="279"/>
      <c r="K22" s="279"/>
      <c r="L22" s="279"/>
      <c r="M22" s="279"/>
      <c r="N22" s="279"/>
      <c r="O22" s="279" t="str">
        <f>VLOOKUP("D13",tblTrans3Langs[],LangFieldID,FALSE)</f>
        <v>Sample strata</v>
      </c>
      <c r="P22" s="279"/>
      <c r="Q22" s="279"/>
      <c r="R22" s="279"/>
      <c r="S22" s="281" t="str">
        <f>VLOOKUP(S$26,tblTrans3Langs[],LangFieldID,FALSE)</f>
        <v>Size class</v>
      </c>
      <c r="T22" s="270" t="str">
        <f>VLOOKUP("D21",tblTrans3Langs[],LangFieldID,FALSE)</f>
        <v>Number &amp; Gender</v>
      </c>
      <c r="U22" s="271"/>
      <c r="V22" s="271"/>
      <c r="W22" s="272"/>
    </row>
    <row r="23" spans="1:23" s="118" customFormat="1" ht="10.9" x14ac:dyDescent="0.25">
      <c r="A23" s="282" t="str">
        <f>VLOOKUP(A$26,tblTrans3Langs[],LangFieldID,FALSE)</f>
        <v>Flag of Vessel (cod)</v>
      </c>
      <c r="B23" s="282" t="str">
        <f>VLOOKUP(B$26,tblTrans3Langs[],LangFieldID,FALSE)</f>
        <v xml:space="preserve">Fleet suffix </v>
      </c>
      <c r="C23" s="280" t="str">
        <f>VLOOKUP(C$26,tblTrans3Langs[],LangFieldID,FALSE)</f>
        <v>Year (calendar)</v>
      </c>
      <c r="D23" s="280" t="str">
        <f>VLOOKUP(D$26,tblTrans3Langs[],LangFieldID,FALSE)</f>
        <v>Month</v>
      </c>
      <c r="E23" s="282" t="str">
        <f>VLOOKUP(E$26,tblTrans3Langs[],LangFieldID,FALSE)</f>
        <v>Gear (cod)</v>
      </c>
      <c r="F23" s="282" t="str">
        <f>VLOOKUP(F$26,tblTrans3Langs[],LangFieldID,FALSE)</f>
        <v>Catch type (cod)</v>
      </c>
      <c r="G23" s="282" t="str">
        <f>VLOOKUP(G$26,tblTrans3Langs[],LangFieldID,FALSE)</f>
        <v>School t. (cod)</v>
      </c>
      <c r="H23" s="279" t="str">
        <f>VLOOKUP("D12a",tblTrans3Langs[],LangFieldID,FALSE)</f>
        <v>Geographic area</v>
      </c>
      <c r="I23" s="279"/>
      <c r="J23" s="279"/>
      <c r="K23" s="279"/>
      <c r="L23" s="279"/>
      <c r="M23" s="282" t="str">
        <f>VLOOKUP(M$26,tblTrans3Langs[],LangFieldID,FALSE)</f>
        <v>Data source (cod)</v>
      </c>
      <c r="N23" s="279" t="str">
        <f>VLOOKUP(N$26,tblTrans3Langs[],LangFieldID,FALSE)</f>
        <v>Total catch (kg)</v>
      </c>
      <c r="O23" s="279" t="str">
        <f>VLOOKUP(O$26,tblTrans3Langs[],LangFieldID,FALSE)</f>
        <v>Sample unit ID (SU)</v>
      </c>
      <c r="P23" s="280" t="str">
        <f>VLOOKUP(P$26,tblTrans3Langs[],LangFieldID,FALSE)</f>
        <v>Month (sample)</v>
      </c>
      <c r="Q23" s="279" t="str">
        <f>VLOOKUP("D13a",tblTrans3Langs[],LangFieldID,FALSE)</f>
        <v>Total fish sampled</v>
      </c>
      <c r="R23" s="279"/>
      <c r="S23" s="281"/>
      <c r="T23" s="273"/>
      <c r="U23" s="274"/>
      <c r="V23" s="274"/>
      <c r="W23" s="275"/>
    </row>
    <row r="24" spans="1:23" s="118" customFormat="1" ht="21.75" x14ac:dyDescent="0.25">
      <c r="A24" s="282"/>
      <c r="B24" s="282"/>
      <c r="C24" s="280"/>
      <c r="D24" s="280"/>
      <c r="E24" s="282"/>
      <c r="F24" s="282"/>
      <c r="G24" s="282"/>
      <c r="H24" s="158" t="str">
        <f>VLOOKUP(H$26,tblTrans3Langs[],LangFieldID,FALSE)</f>
        <v>Sampling area (cod)</v>
      </c>
      <c r="I24" s="158" t="str">
        <f>VLOOKUP(I$26,tblTrans3Langs[],LangFieldID,FALSE)</f>
        <v>Square t. (cod)</v>
      </c>
      <c r="J24" s="158" t="str">
        <f>VLOOKUP(J$26,tblTrans3Langs[],LangFieldID,FALSE)</f>
        <v>Quad (cod)</v>
      </c>
      <c r="K24" s="159" t="str">
        <f>VLOOKUP(K$26,tblTrans3Langs[],LangFieldID,FALSE)</f>
        <v>Lat</v>
      </c>
      <c r="L24" s="159" t="str">
        <f>VLOOKUP(L$26,tblTrans3Langs[],LangFieldID,FALSE)</f>
        <v>Lon</v>
      </c>
      <c r="M24" s="282"/>
      <c r="N24" s="279"/>
      <c r="O24" s="279"/>
      <c r="P24" s="280"/>
      <c r="Q24" s="159" t="str">
        <f>VLOOKUP(Q$26,tblTrans3Langs[],LangFieldID,FALSE)</f>
        <v>Weight (kg)</v>
      </c>
      <c r="R24" s="159" t="str">
        <f>VLOOKUP(R$26,tblTrans3Langs[],LangFieldID,FALSE)</f>
        <v>Number</v>
      </c>
      <c r="S24" s="273"/>
      <c r="T24" s="146" t="s">
        <v>754</v>
      </c>
      <c r="U24" s="146" t="s">
        <v>755</v>
      </c>
      <c r="V24" s="146" t="s">
        <v>756</v>
      </c>
      <c r="W24" s="146" t="s">
        <v>757</v>
      </c>
    </row>
    <row r="25" spans="1:23" s="99" customFormat="1" ht="10.9" x14ac:dyDescent="0.2">
      <c r="A25" s="203" t="str" cm="1">
        <f t="array" ref="A25">IF(SUMPRODUCT(MAX(($A27:W50&lt;&gt;"")*ROW($A27:W50)))=0,"",IF(SUMPRODUCT(MAX(($A27:A50&lt;&gt;"")*ROW($A27:A50))+1)&lt;&gt;SUMPRODUCT(MAX(($C27:$W50&lt;&gt;"")*ROW($C27:$W50))+1),"error",IF(COUNTA($A27:A50)&lt;&gt;IFERROR(MATCH(REPT("z",255),$A27:A50),0),"error","ok")))</f>
        <v/>
      </c>
      <c r="B25" s="203"/>
      <c r="C25" s="203" t="str" cm="1">
        <f t="array" aca="1" ref="C25" ca="1">IF(SUMPRODUCT(MAX(($A27:$W50&lt;&gt;"")*ROW($A27:$W50)))=0,"",IF(COUNTA(C27:C50)&lt;&gt;IFERROR(MATCH(REPT("z",255),$A27:$A50),0),"error",IF(COUNTA(C27:C50)&lt;IFERROR(MATCH(RANDBETWEEN($C13,$E13),C27:C50,1),"error"),"ok",IF(SUMPRODUCT(MAX(($A27:$A50&lt;&gt;"")*ROW($A27:$A50))+1)&lt;&gt;SUMPRODUCT(MAX(($C27:$W50&lt;&gt;"")*ROW($C27:$W50))+1),"error","ok"))))</f>
        <v/>
      </c>
      <c r="D25" s="203" t="str" cm="1">
        <f t="array" aca="1" ref="D25" ca="1">IF(SUMPRODUCT(MAX(($A27:$W50&lt;&gt;"")*ROW($A27:$W50)))=0,"",IF(COUNTA(D27:D50)&lt;&gt;IFERROR(MATCH(REPT("z",255),$A27:$A50),0),"error",IF(COUNTA(D27:D50)&lt;IFERROR(MATCH(RANDBETWEEN($C13,$E13),D27:D50,1),"error"),"ok",IF(SUMPRODUCT(MAX(($A27:$A50&lt;&gt;"")*ROW($A27:$A50))+1)&lt;&gt;SUMPRODUCT(MAX(($C27:$W50&lt;&gt;"")*ROW($C27:$W50))+1),"error","ok"))))</f>
        <v/>
      </c>
      <c r="E25" s="203" t="str" cm="1">
        <f t="array" ref="E25">IF(SUMPRODUCT(MAX(($A27:$W50&lt;&gt;"")*ROW($A27:$W50)))=0,"",IF(COUNTA(E27:E50)&lt;&gt;IFERROR(MATCH(REPT("z",255),$A27:$A50),0),"error",IF(COUNTA(E27:E50)&lt;IFERROR(MATCH(REPT("z",255),E27:E50,1),"error"),"ok",IF(SUMPRODUCT(MAX(($A27:$A50&lt;&gt;"")*ROW($A27:$A50))+1)&lt;&gt;SUMPRODUCT(MAX(($C27:$W50&lt;&gt;"")*ROW($C27:$W50))+1),"error","ok"))))</f>
        <v/>
      </c>
      <c r="F25" s="203" t="str" cm="1">
        <f t="array" ref="F25">IF(SUMPRODUCT(MAX(($A27:$W50&lt;&gt;"")*ROW($A27:$W50)))=0,"",IF(COUNTA(F27:F50)&lt;&gt;IFERROR(MATCH(REPT("z",255),$A27:$A50),0),"error",IF(COUNTA(F27:F50)&lt;IFERROR(MATCH(REPT("z",255),F27:F50,1),"error"),"ok",IF(SUMPRODUCT(MAX(($A27:$A50&lt;&gt;"")*ROW($A27:$A50))+1)&lt;&gt;SUMPRODUCT(MAX(($C27:$W50&lt;&gt;"")*ROW($C27:$W50))+1),"error","ok"))))</f>
        <v/>
      </c>
      <c r="G25" s="203" t="str" cm="1">
        <f t="array" ref="G25">IF(SUMPRODUCT(MAX(($A27:$W50&lt;&gt;"")*ROW($A27:$W50)))=0,"",IF(COUNTA(G27:G50)&lt;&gt;IFERROR(MATCH(REPT("z",255),$A27:$A50),0),"error",IF(COUNTA(G27:G50)&lt;IFERROR(MATCH(REPT("z",255),G27:G50,1),"error"),"ok",IF(SUMPRODUCT(MAX(($A27:$A50&lt;&gt;"")*ROW($A27:$A50))+1)&lt;&gt;SUMPRODUCT(MAX(($C27:$W50&lt;&gt;"")*ROW($C27:$W50))+1),"error","ok"))))</f>
        <v/>
      </c>
      <c r="H25" s="203" t="str" cm="1">
        <f t="array" ref="H25">IF(SUMPRODUCT(MAX(($A27:$W50&lt;&gt;"")*ROW($A27:$W50)))=0,"",IF(COUNTA(H27:H50)&lt;&gt;IFERROR(MATCH(REPT("z",255),$A27:$A50),0),"error",IF(COUNTA(H27:H50)&lt;IFERROR(MATCH(REPT("z",255),H27:H50,1),"error"),"ok",IF(SUMPRODUCT(MAX(($A27:$A50&lt;&gt;"")*ROW($A27:$A50))+1)&lt;&gt;SUMPRODUCT(MAX(($C27:$W50&lt;&gt;"")*ROW($C27:$W50))+1),"error","ok"))))</f>
        <v/>
      </c>
      <c r="I25" s="203" t="str" cm="1">
        <f t="array" ref="I25">IF(SUMPRODUCT(MAX(($A27:$W50&lt;&gt;"")*ROW($A27:$W50)))=0,"",IF(COUNTA(I27:I50)&lt;&gt;IFERROR(MATCH(REPT("z",255),$A27:$A50),0),"error",IF(COUNTA(I27:I50)&lt;IFERROR(MATCH(REPT("z",255),I27:I50,1),"error"),"ok",IF(SUMPRODUCT(MAX(($A27:$A50&lt;&gt;"")*ROW($A27:$A50))+1)&lt;&gt;SUMPRODUCT(MAX(($C27:$W50&lt;&gt;"")*ROW($C27:$W50))+1),"error","ok"))))</f>
        <v/>
      </c>
      <c r="J25" s="203" t="str" cm="1">
        <f t="array" ref="J25">IF(SUMPRODUCT(MAX(($A27:$W50&lt;&gt;"")*ROW($A27:$W50)))=0,"",IF(COUNTA(J27:J50)&lt;&gt;IFERROR(MATCH(REPT("z",255),$A27:$A50),0),"error",IF(COUNTA(J27:J50)&lt;IFERROR(MATCH(REPT("z",255),J27:J50,1),"error"),"ok",IF(SUMPRODUCT(MAX(($A27:$A50&lt;&gt;"")*ROW($A27:$A50))+1)&lt;&gt;SUMPRODUCT(MAX(($C27:$W50&lt;&gt;"")*ROW($C27:$W50))+1),"error","ok"))))</f>
        <v/>
      </c>
      <c r="K25" s="203" t="str" cm="1">
        <f t="array" aca="1" ref="K25" ca="1">IF(SUMPRODUCT(MAX(($A27:$W50&lt;&gt;"")*ROW($A27:$W50)))=0,"",IF(COUNTA(K27:K50)&lt;&gt;IFERROR(MATCH(REPT("z",255),$A27:$A50),0),"error",IF(COUNTA(K27:K50)&lt;IFERROR(MATCH(RANDBETWEEN($C13,$E13),K27:K50,1),"error"),"ok",IF(SUMPRODUCT(MAX(($A27:$A50&lt;&gt;"")*ROW($A27:$A50))+1)&lt;&gt;SUMPRODUCT(MAX(($C27:$W50&lt;&gt;"")*ROW($C27:$W50))+1),"error","ok"))))</f>
        <v/>
      </c>
      <c r="L25" s="203" t="str" cm="1">
        <f t="array" aca="1" ref="L25" ca="1">IF(SUMPRODUCT(MAX(($A27:$W50&lt;&gt;"")*ROW($A27:$W50)))=0,"",IF(COUNTA(L27:L50)&lt;&gt;IFERROR(MATCH(REPT("z",255),$A27:$A50),0),"error",IF(COUNTA(L27:L50)&lt;IFERROR(MATCH(RANDBETWEEN($C13,$E13),L27:L50,1),"error"),"ok",IF(SUMPRODUCT(MAX(($A27:$A50&lt;&gt;"")*ROW($A27:$A50))+1)&lt;&gt;SUMPRODUCT(MAX(($C27:$W50&lt;&gt;"")*ROW($C27:$W50))+1),"error","ok"))))</f>
        <v/>
      </c>
      <c r="M25" s="203" t="str" cm="1">
        <f t="array" ref="M25">IF(SUMPRODUCT(MAX(($A27:$W50&lt;&gt;"")*ROW($A27:$W50)))=0,"",IF(COUNTA(M27:M50)&lt;&gt;IFERROR(MATCH(REPT("z",255),$A27:$A50),0),"error",IF(COUNTA(M27:M50)&lt;IFERROR(MATCH(REPT("z",255),M27:M50,1),"error"),"ok",IF(SUMPRODUCT(MAX(($A27:$A50&lt;&gt;"")*ROW($A27:$A50))+1)&lt;&gt;SUMPRODUCT(MAX(($C27:$W50&lt;&gt;"")*ROW($C27:$W50))+1),"error","ok"))))</f>
        <v/>
      </c>
      <c r="N25" s="203"/>
      <c r="O25" s="203"/>
      <c r="P25" s="203" t="str" cm="1">
        <f t="array" aca="1" ref="P25" ca="1">IF(SUMPRODUCT(MAX(($A27:$W50&lt;&gt;"")*ROW($A27:$W50)))=0,"",IF(COUNTA(P27:P50)&lt;&gt;IFERROR(MATCH(REPT("z",255),$A27:$A50),0),"error",IF(COUNTA(P27:P50)&lt;IFERROR(MATCH(RANDBETWEEN($C13,$E13),P27:P50,1),"error"),"ok",IF(SUMPRODUCT(MAX(($A27:$A50&lt;&gt;"")*ROW($A27:$A50))+1)&lt;&gt;SUMPRODUCT(MAX(($C27:$W50&lt;&gt;"")*ROW($C27:$W50))+1),"error","ok"))))</f>
        <v/>
      </c>
      <c r="Q25" s="203" t="str" cm="1">
        <f t="array" aca="1" ref="Q25" ca="1">IF(SUMPRODUCT(MAX(($A27:$W50&lt;&gt;"")*ROW($A27:$W50)))=0,"",IF(COUNTA(Q27:Q50)&lt;&gt;IFERROR(MATCH(REPT("z",255),$A27:$A50),0),"error",IF(COUNTA(Q27:Q50)&lt;IFERROR(MATCH(RANDBETWEEN($C13,$E13),Q27:Q50,1),"error"),"ok",IF(SUMPRODUCT(MAX(($A27:$A50&lt;&gt;"")*ROW($A27:$A50))+1)&lt;&gt;SUMPRODUCT(MAX(($C27:$W50&lt;&gt;"")*ROW($C27:$W50))+1),"error","ok"))))</f>
        <v/>
      </c>
      <c r="R25" s="203" t="str" cm="1">
        <f t="array" aca="1" ref="R25" ca="1">IF(SUMPRODUCT(MAX(($A27:$W50&lt;&gt;"")*ROW($A27:$W50)))=0,"",IF(COUNTA(R27:R50)&lt;&gt;IFERROR(MATCH(REPT("z",255),$A27:$A50),0),"error",IF(COUNTA(R27:R50)&lt;IFERROR(MATCH(RANDBETWEEN($C13,$E13),R27:R50,1),"error"),"ok",IF(SUMPRODUCT(MAX(($A27:$A50&lt;&gt;"")*ROW($A27:$A50))+1)&lt;&gt;SUMPRODUCT(MAX(($C27:$W50&lt;&gt;"")*ROW($C27:$W50))+1),"error","ok"))))</f>
        <v/>
      </c>
      <c r="S25" s="203" t="str" cm="1">
        <f t="array" aca="1" ref="S25" ca="1">IF(SUMPRODUCT(MAX(($A27:$W50&lt;&gt;"")*ROW($A27:$W50)))=0,"",IF(COUNTA(S27:S50)&lt;&gt;IFERROR(MATCH(REPT("z",255),$A27:$A50),0),"error",IF(COUNTA(S27:S50)&lt;IFERROR(MATCH(RANDBETWEEN($C13,$E13),S27:W50,1),"error"),"ok",IF(SUMPRODUCT(MAX(($A27:$A50&lt;&gt;"")*ROW($A27:$A50))+1)&lt;&gt;SUMPRODUCT(MAX(($C27:$W50&lt;&gt;"")*ROW($C27:$W50))+1),"error","ok"))))</f>
        <v/>
      </c>
      <c r="T25" s="203"/>
      <c r="U25" s="203"/>
      <c r="V25" s="203"/>
      <c r="W25" s="203"/>
    </row>
    <row r="26" spans="1:23" s="99" customFormat="1" ht="10.9" x14ac:dyDescent="0.2">
      <c r="A26" s="77" t="s">
        <v>1029</v>
      </c>
      <c r="B26" s="77" t="s">
        <v>2382</v>
      </c>
      <c r="C26" s="77" t="s">
        <v>1975</v>
      </c>
      <c r="D26" s="77" t="s">
        <v>1974</v>
      </c>
      <c r="E26" s="77" t="s">
        <v>1033</v>
      </c>
      <c r="F26" s="77" t="s">
        <v>1037</v>
      </c>
      <c r="G26" s="77" t="s">
        <v>1039</v>
      </c>
      <c r="H26" s="77" t="s">
        <v>1043</v>
      </c>
      <c r="I26" s="77" t="s">
        <v>1046</v>
      </c>
      <c r="J26" s="77" t="s">
        <v>1049</v>
      </c>
      <c r="K26" s="77" t="s">
        <v>10</v>
      </c>
      <c r="L26" s="77" t="s">
        <v>9</v>
      </c>
      <c r="M26" s="77" t="s">
        <v>1053</v>
      </c>
      <c r="N26" s="77" t="s">
        <v>2011</v>
      </c>
      <c r="O26" s="77" t="s">
        <v>67</v>
      </c>
      <c r="P26" s="77" t="s">
        <v>1982</v>
      </c>
      <c r="Q26" s="77" t="s">
        <v>1113</v>
      </c>
      <c r="R26" s="77" t="s">
        <v>1114</v>
      </c>
      <c r="S26" s="77" t="s">
        <v>912</v>
      </c>
      <c r="T26" s="77" t="s">
        <v>1060</v>
      </c>
      <c r="U26" s="77" t="s">
        <v>1063</v>
      </c>
      <c r="V26" s="77" t="s">
        <v>1067</v>
      </c>
      <c r="W26" s="77" t="s">
        <v>1071</v>
      </c>
    </row>
    <row r="27" spans="1:23" s="129" customFormat="1" ht="10.9" x14ac:dyDescent="0.2">
      <c r="A27" s="130"/>
      <c r="B27" s="130"/>
      <c r="C27" s="131"/>
      <c r="D27" s="131"/>
      <c r="E27" s="130"/>
      <c r="F27" s="131"/>
      <c r="G27" s="130"/>
      <c r="H27" s="170"/>
      <c r="I27" s="130"/>
      <c r="J27" s="130"/>
      <c r="K27" s="131"/>
      <c r="L27" s="131"/>
      <c r="M27" s="131"/>
      <c r="N27" s="131"/>
      <c r="O27" s="132"/>
      <c r="P27" s="131"/>
      <c r="Q27" s="131"/>
      <c r="R27" s="131"/>
      <c r="S27" s="132"/>
      <c r="T27" s="131"/>
      <c r="U27" s="131"/>
      <c r="V27" s="131"/>
      <c r="W27" s="131"/>
    </row>
    <row r="28" spans="1:23" s="129" customFormat="1" ht="10.9" x14ac:dyDescent="0.2">
      <c r="A28" s="130"/>
      <c r="B28" s="130"/>
      <c r="C28" s="131"/>
      <c r="D28" s="131"/>
      <c r="E28" s="130"/>
      <c r="F28" s="131"/>
      <c r="G28" s="130"/>
      <c r="H28" s="170"/>
      <c r="I28" s="130"/>
      <c r="J28" s="130"/>
      <c r="K28" s="131"/>
      <c r="L28" s="131"/>
      <c r="M28" s="131"/>
      <c r="N28" s="131"/>
      <c r="O28" s="132"/>
      <c r="P28" s="131"/>
      <c r="Q28" s="131"/>
      <c r="R28" s="131"/>
      <c r="S28" s="133"/>
      <c r="T28" s="134"/>
      <c r="U28" s="134"/>
      <c r="V28" s="134"/>
      <c r="W28" s="134"/>
    </row>
    <row r="29" spans="1:23" s="129" customFormat="1" ht="10.9" x14ac:dyDescent="0.2">
      <c r="A29" s="130"/>
      <c r="B29" s="130"/>
      <c r="C29" s="131"/>
      <c r="D29" s="131"/>
      <c r="E29" s="130"/>
      <c r="F29" s="131"/>
      <c r="G29" s="130"/>
      <c r="H29" s="170"/>
      <c r="I29" s="130"/>
      <c r="J29" s="130"/>
      <c r="K29" s="131"/>
      <c r="L29" s="131"/>
      <c r="M29" s="131"/>
      <c r="N29" s="131"/>
      <c r="O29" s="132"/>
      <c r="P29" s="131"/>
      <c r="Q29" s="131"/>
      <c r="R29" s="131"/>
      <c r="S29" s="132"/>
      <c r="T29" s="134"/>
      <c r="U29" s="134"/>
      <c r="V29" s="134"/>
      <c r="W29" s="134"/>
    </row>
    <row r="30" spans="1:23" s="129" customFormat="1" ht="10.9" x14ac:dyDescent="0.2">
      <c r="A30" s="130"/>
      <c r="B30" s="130"/>
      <c r="C30" s="131"/>
      <c r="D30" s="131"/>
      <c r="E30" s="130"/>
      <c r="F30" s="131"/>
      <c r="G30" s="130"/>
      <c r="H30" s="170"/>
      <c r="I30" s="130"/>
      <c r="J30" s="130"/>
      <c r="K30" s="131"/>
      <c r="L30" s="131"/>
      <c r="M30" s="131"/>
      <c r="N30" s="131"/>
      <c r="O30" s="132"/>
      <c r="P30" s="131"/>
      <c r="Q30" s="131"/>
      <c r="R30" s="131"/>
      <c r="S30" s="133"/>
      <c r="T30" s="134"/>
      <c r="U30" s="134"/>
      <c r="V30" s="134"/>
      <c r="W30" s="134"/>
    </row>
    <row r="31" spans="1:23" s="129" customFormat="1" ht="10.9" x14ac:dyDescent="0.2">
      <c r="A31" s="130"/>
      <c r="B31" s="130"/>
      <c r="C31" s="131"/>
      <c r="D31" s="131"/>
      <c r="E31" s="130"/>
      <c r="F31" s="131"/>
      <c r="G31" s="130"/>
      <c r="H31" s="170"/>
      <c r="I31" s="130"/>
      <c r="J31" s="130"/>
      <c r="K31" s="131"/>
      <c r="L31" s="131"/>
      <c r="M31" s="131"/>
      <c r="N31" s="131"/>
      <c r="O31" s="132"/>
      <c r="P31" s="131"/>
      <c r="Q31" s="131"/>
      <c r="R31" s="131"/>
      <c r="S31" s="132"/>
      <c r="T31" s="134"/>
      <c r="U31" s="134"/>
      <c r="V31" s="134"/>
      <c r="W31" s="134"/>
    </row>
    <row r="32" spans="1:23" s="129" customFormat="1" ht="10.9" x14ac:dyDescent="0.2">
      <c r="A32" s="130"/>
      <c r="B32" s="130"/>
      <c r="C32" s="131"/>
      <c r="D32" s="131"/>
      <c r="E32" s="130"/>
      <c r="F32" s="131"/>
      <c r="G32" s="130"/>
      <c r="H32" s="170"/>
      <c r="I32" s="130"/>
      <c r="J32" s="130"/>
      <c r="K32" s="131"/>
      <c r="L32" s="131"/>
      <c r="M32" s="131"/>
      <c r="N32" s="131"/>
      <c r="O32" s="132"/>
      <c r="P32" s="131"/>
      <c r="Q32" s="131"/>
      <c r="R32" s="131"/>
      <c r="S32" s="133"/>
      <c r="T32" s="134"/>
      <c r="U32" s="134"/>
      <c r="V32" s="134"/>
      <c r="W32" s="134"/>
    </row>
    <row r="33" spans="1:23" s="129" customFormat="1" ht="10.9" x14ac:dyDescent="0.2">
      <c r="A33" s="130"/>
      <c r="B33" s="130"/>
      <c r="C33" s="131"/>
      <c r="D33" s="131"/>
      <c r="E33" s="130"/>
      <c r="F33" s="131"/>
      <c r="G33" s="130"/>
      <c r="H33" s="170"/>
      <c r="I33" s="130"/>
      <c r="J33" s="130"/>
      <c r="K33" s="131"/>
      <c r="L33" s="131"/>
      <c r="M33" s="131"/>
      <c r="N33" s="131"/>
      <c r="O33" s="132"/>
      <c r="P33" s="131"/>
      <c r="Q33" s="131"/>
      <c r="R33" s="131"/>
      <c r="S33" s="132"/>
      <c r="T33" s="134"/>
      <c r="U33" s="134"/>
      <c r="V33" s="134"/>
      <c r="W33" s="134"/>
    </row>
    <row r="34" spans="1:23" s="129" customFormat="1" ht="10.9" x14ac:dyDescent="0.2">
      <c r="A34" s="130"/>
      <c r="B34" s="130"/>
      <c r="C34" s="131"/>
      <c r="D34" s="131"/>
      <c r="E34" s="130"/>
      <c r="F34" s="131"/>
      <c r="G34" s="130"/>
      <c r="H34" s="170"/>
      <c r="I34" s="130"/>
      <c r="J34" s="130"/>
      <c r="K34" s="131"/>
      <c r="L34" s="131"/>
      <c r="M34" s="131"/>
      <c r="N34" s="131"/>
      <c r="O34" s="132"/>
      <c r="P34" s="131"/>
      <c r="Q34" s="131"/>
      <c r="R34" s="131"/>
      <c r="S34" s="133"/>
      <c r="T34" s="134"/>
      <c r="U34" s="134"/>
      <c r="V34" s="134"/>
      <c r="W34" s="134"/>
    </row>
    <row r="35" spans="1:23" s="129" customFormat="1" ht="10.9" x14ac:dyDescent="0.2">
      <c r="A35" s="130"/>
      <c r="B35" s="130"/>
      <c r="C35" s="131"/>
      <c r="D35" s="131"/>
      <c r="E35" s="130"/>
      <c r="F35" s="131"/>
      <c r="G35" s="130"/>
      <c r="H35" s="170"/>
      <c r="I35" s="130"/>
      <c r="J35" s="130"/>
      <c r="K35" s="131"/>
      <c r="L35" s="131"/>
      <c r="M35" s="131"/>
      <c r="N35" s="131"/>
      <c r="O35" s="132"/>
      <c r="P35" s="131"/>
      <c r="Q35" s="131"/>
      <c r="R35" s="131"/>
      <c r="S35" s="132"/>
      <c r="T35" s="134"/>
      <c r="U35" s="134"/>
      <c r="V35" s="134"/>
      <c r="W35" s="134"/>
    </row>
    <row r="36" spans="1:23" s="129" customFormat="1" ht="10.9" x14ac:dyDescent="0.2">
      <c r="A36" s="130"/>
      <c r="B36" s="130"/>
      <c r="C36" s="131"/>
      <c r="D36" s="131"/>
      <c r="E36" s="130"/>
      <c r="F36" s="131"/>
      <c r="G36" s="130"/>
      <c r="H36" s="170"/>
      <c r="I36" s="130"/>
      <c r="J36" s="130"/>
      <c r="K36" s="131"/>
      <c r="L36" s="131"/>
      <c r="M36" s="131"/>
      <c r="N36" s="131"/>
      <c r="O36" s="132"/>
      <c r="P36" s="131"/>
      <c r="Q36" s="131"/>
      <c r="R36" s="131"/>
      <c r="S36" s="133"/>
      <c r="T36" s="134"/>
      <c r="U36" s="134"/>
      <c r="V36" s="134"/>
      <c r="W36" s="134"/>
    </row>
    <row r="37" spans="1:23" s="129" customFormat="1" ht="10.9" x14ac:dyDescent="0.2">
      <c r="A37" s="130"/>
      <c r="B37" s="130"/>
      <c r="C37" s="131"/>
      <c r="D37" s="131"/>
      <c r="E37" s="130"/>
      <c r="F37" s="131"/>
      <c r="G37" s="130"/>
      <c r="H37" s="170"/>
      <c r="I37" s="130"/>
      <c r="J37" s="130"/>
      <c r="K37" s="131"/>
      <c r="L37" s="131"/>
      <c r="M37" s="131"/>
      <c r="N37" s="131"/>
      <c r="O37" s="132"/>
      <c r="P37" s="131"/>
      <c r="Q37" s="131"/>
      <c r="R37" s="131"/>
      <c r="S37" s="132"/>
      <c r="T37" s="134"/>
      <c r="U37" s="134"/>
      <c r="V37" s="134"/>
      <c r="W37" s="134"/>
    </row>
    <row r="38" spans="1:23" s="129" customFormat="1" ht="10.9" x14ac:dyDescent="0.2">
      <c r="A38" s="130"/>
      <c r="B38" s="130"/>
      <c r="C38" s="131"/>
      <c r="D38" s="131"/>
      <c r="E38" s="130"/>
      <c r="F38" s="131"/>
      <c r="G38" s="130"/>
      <c r="H38" s="170"/>
      <c r="I38" s="130"/>
      <c r="J38" s="130"/>
      <c r="K38" s="131"/>
      <c r="L38" s="131"/>
      <c r="M38" s="131"/>
      <c r="N38" s="131"/>
      <c r="O38" s="132"/>
      <c r="P38" s="131"/>
      <c r="Q38" s="131"/>
      <c r="R38" s="131"/>
      <c r="S38" s="133"/>
      <c r="T38" s="134"/>
      <c r="U38" s="134"/>
      <c r="V38" s="134"/>
      <c r="W38" s="134"/>
    </row>
    <row r="39" spans="1:23" s="129" customFormat="1" ht="10.9" x14ac:dyDescent="0.2">
      <c r="A39" s="130"/>
      <c r="B39" s="130"/>
      <c r="C39" s="131"/>
      <c r="D39" s="131"/>
      <c r="E39" s="130"/>
      <c r="F39" s="131"/>
      <c r="G39" s="130"/>
      <c r="H39" s="170"/>
      <c r="I39" s="130"/>
      <c r="J39" s="130"/>
      <c r="K39" s="131"/>
      <c r="L39" s="131"/>
      <c r="M39" s="131"/>
      <c r="N39" s="131"/>
      <c r="O39" s="132"/>
      <c r="P39" s="131"/>
      <c r="Q39" s="131"/>
      <c r="R39" s="131"/>
      <c r="S39" s="132"/>
      <c r="T39" s="134"/>
      <c r="U39" s="134"/>
      <c r="V39" s="134"/>
      <c r="W39" s="134"/>
    </row>
    <row r="40" spans="1:23" s="129" customFormat="1" ht="10.9" x14ac:dyDescent="0.2">
      <c r="A40" s="130"/>
      <c r="B40" s="130"/>
      <c r="C40" s="131"/>
      <c r="D40" s="131"/>
      <c r="E40" s="130"/>
      <c r="F40" s="131"/>
      <c r="G40" s="130"/>
      <c r="H40" s="170"/>
      <c r="I40" s="130"/>
      <c r="J40" s="130"/>
      <c r="K40" s="131"/>
      <c r="L40" s="131"/>
      <c r="M40" s="131"/>
      <c r="N40" s="131"/>
      <c r="O40" s="132"/>
      <c r="P40" s="131"/>
      <c r="Q40" s="131"/>
      <c r="R40" s="131"/>
      <c r="S40" s="133"/>
      <c r="T40" s="134"/>
      <c r="U40" s="134"/>
      <c r="V40" s="134"/>
      <c r="W40" s="134"/>
    </row>
    <row r="41" spans="1:23" s="129" customFormat="1" ht="10.9" x14ac:dyDescent="0.2">
      <c r="A41" s="130"/>
      <c r="B41" s="130"/>
      <c r="C41" s="131"/>
      <c r="D41" s="131"/>
      <c r="E41" s="130"/>
      <c r="F41" s="131"/>
      <c r="G41" s="130"/>
      <c r="H41" s="170"/>
      <c r="I41" s="130"/>
      <c r="J41" s="130"/>
      <c r="K41" s="131"/>
      <c r="L41" s="131"/>
      <c r="M41" s="131"/>
      <c r="N41" s="131"/>
      <c r="O41" s="132"/>
      <c r="P41" s="131"/>
      <c r="Q41" s="131"/>
      <c r="R41" s="134"/>
      <c r="S41" s="133"/>
      <c r="T41" s="134"/>
      <c r="U41" s="134"/>
      <c r="V41" s="134"/>
      <c r="W41" s="134"/>
    </row>
    <row r="42" spans="1:23" s="129" customFormat="1" ht="10.9" x14ac:dyDescent="0.2">
      <c r="A42" s="135"/>
      <c r="B42" s="135"/>
      <c r="C42" s="134"/>
      <c r="D42" s="134"/>
      <c r="E42" s="135"/>
      <c r="F42" s="134"/>
      <c r="G42" s="135"/>
      <c r="H42" s="171"/>
      <c r="I42" s="135"/>
      <c r="J42" s="135"/>
      <c r="K42" s="134"/>
      <c r="L42" s="134"/>
      <c r="M42" s="134"/>
      <c r="N42" s="134"/>
      <c r="O42" s="133"/>
      <c r="P42" s="134"/>
      <c r="Q42" s="134"/>
      <c r="R42" s="134"/>
      <c r="S42" s="133"/>
      <c r="T42" s="134"/>
      <c r="U42" s="134"/>
      <c r="V42" s="134"/>
      <c r="W42" s="134"/>
    </row>
    <row r="43" spans="1:23" s="129" customFormat="1" ht="10.9" x14ac:dyDescent="0.2">
      <c r="A43" s="135"/>
      <c r="B43" s="135"/>
      <c r="C43" s="134"/>
      <c r="D43" s="134"/>
      <c r="E43" s="135"/>
      <c r="F43" s="134"/>
      <c r="G43" s="135"/>
      <c r="H43" s="171"/>
      <c r="I43" s="135"/>
      <c r="J43" s="135"/>
      <c r="K43" s="134"/>
      <c r="L43" s="134"/>
      <c r="M43" s="134"/>
      <c r="N43" s="134"/>
      <c r="O43" s="133"/>
      <c r="P43" s="134"/>
      <c r="Q43" s="134"/>
      <c r="R43" s="134"/>
      <c r="S43" s="133"/>
      <c r="T43" s="134"/>
      <c r="U43" s="134"/>
      <c r="V43" s="134"/>
      <c r="W43" s="134"/>
    </row>
    <row r="44" spans="1:23" s="129" customFormat="1" ht="10.9" x14ac:dyDescent="0.2">
      <c r="A44" s="135"/>
      <c r="B44" s="135"/>
      <c r="C44" s="134"/>
      <c r="D44" s="134"/>
      <c r="E44" s="135"/>
      <c r="F44" s="134"/>
      <c r="G44" s="135"/>
      <c r="H44" s="171"/>
      <c r="I44" s="135"/>
      <c r="J44" s="135"/>
      <c r="K44" s="134"/>
      <c r="L44" s="134"/>
      <c r="M44" s="134"/>
      <c r="N44" s="134"/>
      <c r="O44" s="133"/>
      <c r="P44" s="134"/>
      <c r="Q44" s="134"/>
      <c r="R44" s="134"/>
      <c r="S44" s="133"/>
      <c r="T44" s="134"/>
      <c r="U44" s="134"/>
      <c r="V44" s="134"/>
      <c r="W44" s="134"/>
    </row>
    <row r="45" spans="1:23" s="129" customFormat="1" ht="10.9" x14ac:dyDescent="0.2">
      <c r="A45" s="135"/>
      <c r="B45" s="135"/>
      <c r="C45" s="134"/>
      <c r="D45" s="134"/>
      <c r="E45" s="135"/>
      <c r="F45" s="134"/>
      <c r="G45" s="135"/>
      <c r="H45" s="171"/>
      <c r="I45" s="135"/>
      <c r="J45" s="135"/>
      <c r="K45" s="134"/>
      <c r="L45" s="134"/>
      <c r="M45" s="134"/>
      <c r="N45" s="134"/>
      <c r="O45" s="133"/>
      <c r="P45" s="134"/>
      <c r="Q45" s="134"/>
      <c r="R45" s="134"/>
      <c r="S45" s="133"/>
      <c r="T45" s="134"/>
      <c r="U45" s="134"/>
      <c r="V45" s="134"/>
      <c r="W45" s="134"/>
    </row>
    <row r="46" spans="1:23" s="129" customFormat="1" ht="10.9" x14ac:dyDescent="0.2">
      <c r="A46" s="135"/>
      <c r="B46" s="135"/>
      <c r="C46" s="134"/>
      <c r="D46" s="134"/>
      <c r="E46" s="135"/>
      <c r="F46" s="135"/>
      <c r="G46" s="135"/>
      <c r="H46" s="171"/>
      <c r="I46" s="135"/>
      <c r="J46" s="135"/>
      <c r="K46" s="134"/>
      <c r="L46" s="134"/>
      <c r="M46" s="134"/>
      <c r="N46" s="134"/>
      <c r="O46" s="133"/>
      <c r="P46" s="134"/>
      <c r="Q46" s="134"/>
      <c r="R46" s="134"/>
      <c r="S46" s="133"/>
      <c r="T46" s="134"/>
      <c r="U46" s="134"/>
      <c r="V46" s="134"/>
      <c r="W46" s="134"/>
    </row>
    <row r="47" spans="1:23" s="129" customFormat="1" ht="10.9" x14ac:dyDescent="0.2">
      <c r="A47" s="135"/>
      <c r="B47" s="135"/>
      <c r="C47" s="134"/>
      <c r="D47" s="134"/>
      <c r="E47" s="135"/>
      <c r="F47" s="134"/>
      <c r="G47" s="135"/>
      <c r="H47" s="171"/>
      <c r="I47" s="135"/>
      <c r="J47" s="135"/>
      <c r="K47" s="134"/>
      <c r="L47" s="134"/>
      <c r="M47" s="134"/>
      <c r="N47" s="134"/>
      <c r="O47" s="133"/>
      <c r="P47" s="134"/>
      <c r="Q47" s="134"/>
      <c r="R47" s="134"/>
      <c r="S47" s="133"/>
      <c r="T47" s="134"/>
      <c r="U47" s="134"/>
      <c r="V47" s="134"/>
      <c r="W47" s="134"/>
    </row>
    <row r="48" spans="1:23" s="129" customFormat="1" ht="10.9" x14ac:dyDescent="0.2">
      <c r="A48" s="135"/>
      <c r="B48" s="135"/>
      <c r="C48" s="134"/>
      <c r="D48" s="134"/>
      <c r="E48" s="135"/>
      <c r="F48" s="134"/>
      <c r="G48" s="135"/>
      <c r="H48" s="171"/>
      <c r="I48" s="135"/>
      <c r="J48" s="135"/>
      <c r="K48" s="134"/>
      <c r="L48" s="134"/>
      <c r="M48" s="134"/>
      <c r="N48" s="134"/>
      <c r="O48" s="133"/>
      <c r="P48" s="134"/>
      <c r="Q48" s="134"/>
      <c r="R48" s="134"/>
      <c r="S48" s="133"/>
      <c r="T48" s="134"/>
      <c r="U48" s="134"/>
      <c r="V48" s="134"/>
      <c r="W48" s="134"/>
    </row>
    <row r="49" spans="1:23" s="129" customFormat="1" ht="10.9" x14ac:dyDescent="0.2">
      <c r="A49" s="135"/>
      <c r="B49" s="135"/>
      <c r="C49" s="134"/>
      <c r="D49" s="134"/>
      <c r="E49" s="135"/>
      <c r="F49" s="134"/>
      <c r="G49" s="135"/>
      <c r="H49" s="171"/>
      <c r="I49" s="135"/>
      <c r="J49" s="135"/>
      <c r="K49" s="134"/>
      <c r="L49" s="134"/>
      <c r="M49" s="134"/>
      <c r="N49" s="134"/>
      <c r="O49" s="133"/>
      <c r="P49" s="134"/>
      <c r="Q49" s="134"/>
      <c r="R49" s="134"/>
      <c r="S49" s="133"/>
      <c r="T49" s="134"/>
      <c r="U49" s="134"/>
      <c r="V49" s="134"/>
      <c r="W49" s="134"/>
    </row>
    <row r="50" spans="1:23" s="129" customFormat="1" ht="10.9" x14ac:dyDescent="0.2">
      <c r="A50" s="135"/>
      <c r="B50" s="135"/>
      <c r="C50" s="134"/>
      <c r="D50" s="134"/>
      <c r="E50" s="135"/>
      <c r="F50" s="134"/>
      <c r="G50" s="135"/>
      <c r="H50" s="171"/>
      <c r="I50" s="135"/>
      <c r="J50" s="135"/>
      <c r="K50" s="134"/>
      <c r="L50" s="134"/>
      <c r="M50" s="134"/>
      <c r="N50" s="134"/>
      <c r="O50" s="133"/>
      <c r="P50" s="134"/>
      <c r="Q50" s="134"/>
      <c r="R50" s="134"/>
      <c r="S50" s="133"/>
      <c r="T50" s="134"/>
      <c r="U50" s="134"/>
      <c r="V50" s="134"/>
      <c r="W50" s="134"/>
    </row>
  </sheetData>
  <sheetProtection algorithmName="SHA-512" hashValue="wkZXMCPoXY1L7YSNM9rhvRyJ+EgH2wxbJi9cZimKRHM74NM0A1X8If+/0RFkqvKfNvidP8YcfDtDJzsBO58utg==" saltValue="mE7luy8/rfB+CRcvjtRccg==" spinCount="100000" sheet="1" scenarios="1" formatCells="0" formatRows="0" insertRows="0" deleteRows="0" autoFilter="0"/>
  <mergeCells count="59">
    <mergeCell ref="C19:F19"/>
    <mergeCell ref="A23:A24"/>
    <mergeCell ref="B23:B24"/>
    <mergeCell ref="A22:B22"/>
    <mergeCell ref="G23:G24"/>
    <mergeCell ref="A1:B2"/>
    <mergeCell ref="A12:B12"/>
    <mergeCell ref="D14:E14"/>
    <mergeCell ref="K7:L7"/>
    <mergeCell ref="C18:D18"/>
    <mergeCell ref="A18:B18"/>
    <mergeCell ref="C9:E9"/>
    <mergeCell ref="C6:E6"/>
    <mergeCell ref="A4:I4"/>
    <mergeCell ref="G6:I6"/>
    <mergeCell ref="A17:B17"/>
    <mergeCell ref="C17:D17"/>
    <mergeCell ref="A13:B13"/>
    <mergeCell ref="A11:I11"/>
    <mergeCell ref="C7:F7"/>
    <mergeCell ref="C8:F8"/>
    <mergeCell ref="K8:O8"/>
    <mergeCell ref="K9:O9"/>
    <mergeCell ref="G9:I9"/>
    <mergeCell ref="K5:L5"/>
    <mergeCell ref="K6:L6"/>
    <mergeCell ref="M6:N6"/>
    <mergeCell ref="C1:P1"/>
    <mergeCell ref="C2:P2"/>
    <mergeCell ref="C5:I5"/>
    <mergeCell ref="Q4:R4"/>
    <mergeCell ref="K4:O4"/>
    <mergeCell ref="M5:N5"/>
    <mergeCell ref="T22:W23"/>
    <mergeCell ref="S21:W21"/>
    <mergeCell ref="Q23:R23"/>
    <mergeCell ref="P23:P24"/>
    <mergeCell ref="H23:L23"/>
    <mergeCell ref="S22:S24"/>
    <mergeCell ref="M23:M24"/>
    <mergeCell ref="N23:N24"/>
    <mergeCell ref="O23:O24"/>
    <mergeCell ref="C22:N22"/>
    <mergeCell ref="A21:R21"/>
    <mergeCell ref="O22:R22"/>
    <mergeCell ref="D23:D24"/>
    <mergeCell ref="E23:E24"/>
    <mergeCell ref="F23:F24"/>
    <mergeCell ref="C23:C24"/>
    <mergeCell ref="A15:A16"/>
    <mergeCell ref="F16:H16"/>
    <mergeCell ref="F18:G18"/>
    <mergeCell ref="F17:G17"/>
    <mergeCell ref="K12:R18"/>
    <mergeCell ref="C12:D12"/>
    <mergeCell ref="F12:H12"/>
    <mergeCell ref="F13:G13"/>
    <mergeCell ref="F14:G14"/>
    <mergeCell ref="F15:G15"/>
  </mergeCells>
  <conditionalFormatting sqref="A25 C25:M25 P25:T25">
    <cfRule type="containsText" dxfId="26" priority="18" operator="containsText" text="error">
      <formula>NOT(ISERROR(SEARCH("error",A25)))</formula>
    </cfRule>
    <cfRule type="containsText" dxfId="25" priority="19" operator="containsText" text="ok">
      <formula>NOT(ISERROR(SEARCH("ok",A25)))</formula>
    </cfRule>
    <cfRule type="expression" dxfId="24" priority="20">
      <formula>ISNA(A$25)</formula>
    </cfRule>
    <cfRule type="expression" dxfId="23" priority="21">
      <formula>ISERROR(A$25)</formula>
    </cfRule>
  </conditionalFormatting>
  <conditionalFormatting sqref="A27:A50">
    <cfRule type="expression" dxfId="22" priority="17">
      <formula>AND(LEN($A27)=0,COUNTA($C27:$W27)&gt;0)</formula>
    </cfRule>
  </conditionalFormatting>
  <conditionalFormatting sqref="C27:C50">
    <cfRule type="expression" dxfId="21" priority="16">
      <formula>OR(AND(LEN($A27)&gt;0,LEN($C27)=0))</formula>
    </cfRule>
  </conditionalFormatting>
  <conditionalFormatting sqref="C5:I5 C6:E6 G6:I6 C7:F8 C9:E9 G9:I9 C12:D12 E13 C13:C15 H13:H15 C17:D18 H17:H19">
    <cfRule type="containsBlanks" dxfId="20" priority="26">
      <formula>LEN(TRIM(C5))=0</formula>
    </cfRule>
  </conditionalFormatting>
  <conditionalFormatting sqref="D27:D50">
    <cfRule type="expression" dxfId="19" priority="15">
      <formula>OR(AND(LEN($A27)&gt;0,LEN($D27)=0))</formula>
    </cfRule>
  </conditionalFormatting>
  <conditionalFormatting sqref="E27:E50">
    <cfRule type="expression" dxfId="18" priority="14">
      <formula>OR(AND(LEN($A27)&gt;0,LEN($E27)=0))</formula>
    </cfRule>
  </conditionalFormatting>
  <conditionalFormatting sqref="F27:F50">
    <cfRule type="expression" dxfId="17" priority="13">
      <formula>OR(AND(LEN($A27)&gt;0,LEN($F27)=0))</formula>
    </cfRule>
  </conditionalFormatting>
  <conditionalFormatting sqref="G27:G50">
    <cfRule type="expression" dxfId="16" priority="12">
      <formula>OR(AND(LEN($A27)&gt;0,LEN($G27)=0))</formula>
    </cfRule>
  </conditionalFormatting>
  <conditionalFormatting sqref="H27:H50">
    <cfRule type="expression" dxfId="15" priority="11">
      <formula>OR(AND(LEN($A27)&gt;0,LEN($H27)=0))</formula>
    </cfRule>
  </conditionalFormatting>
  <conditionalFormatting sqref="I27:I50">
    <cfRule type="expression" dxfId="14" priority="10">
      <formula>OR(AND(LEN($A27)&gt;0,LEN($I27)=0))</formula>
    </cfRule>
  </conditionalFormatting>
  <conditionalFormatting sqref="J4 J11">
    <cfRule type="containsText" dxfId="13" priority="25" operator="containsText" text="inc">
      <formula>NOT(ISERROR(SEARCH("inc",J4)))</formula>
    </cfRule>
  </conditionalFormatting>
  <conditionalFormatting sqref="J4 K9:O9 J11 C12">
    <cfRule type="containsErrors" dxfId="12" priority="22">
      <formula>ISERROR(C4)</formula>
    </cfRule>
  </conditionalFormatting>
  <conditionalFormatting sqref="J27:J50">
    <cfRule type="expression" dxfId="11" priority="9">
      <formula>OR(AND(LEN($A27)&gt;0,LEN($J27)=0))</formula>
    </cfRule>
  </conditionalFormatting>
  <conditionalFormatting sqref="K27:K50">
    <cfRule type="expression" dxfId="10" priority="8">
      <formula>OR(AND(LEN($A27)&gt;0,LEN($K27)=0))</formula>
    </cfRule>
  </conditionalFormatting>
  <conditionalFormatting sqref="K9:O9">
    <cfRule type="expression" dxfId="9" priority="23">
      <formula>LEN($C$12)=0</formula>
    </cfRule>
    <cfRule type="expression" dxfId="8" priority="24">
      <formula>LEN($K$9)=0</formula>
    </cfRule>
  </conditionalFormatting>
  <conditionalFormatting sqref="L27:L50">
    <cfRule type="expression" dxfId="7" priority="7">
      <formula>OR(AND(LEN($A27)&gt;0,LEN($L27)=0))</formula>
    </cfRule>
  </conditionalFormatting>
  <conditionalFormatting sqref="M27:M50">
    <cfRule type="expression" dxfId="6" priority="6">
      <formula>OR(AND(LEN($A27)&gt;0,LEN($M27)=0))</formula>
    </cfRule>
  </conditionalFormatting>
  <conditionalFormatting sqref="P27:P50">
    <cfRule type="expression" dxfId="5" priority="5">
      <formula>OR(AND(LEN($A27)&gt;0,LEN($P27)=0))</formula>
    </cfRule>
  </conditionalFormatting>
  <conditionalFormatting sqref="Q27:Q50">
    <cfRule type="expression" dxfId="4" priority="4">
      <formula>OR(AND(LEN($A27)&gt;0,LEN($Q27)=0))</formula>
    </cfRule>
  </conditionalFormatting>
  <conditionalFormatting sqref="Q6:R8">
    <cfRule type="cellIs" dxfId="3" priority="27" operator="equal">
      <formula>1</formula>
    </cfRule>
  </conditionalFormatting>
  <conditionalFormatting sqref="R27:R50">
    <cfRule type="expression" dxfId="2" priority="3">
      <formula>OR(AND(LEN($A27)&gt;0,LEN($R27)=0))</formula>
    </cfRule>
  </conditionalFormatting>
  <conditionalFormatting sqref="S27:S50">
    <cfRule type="expression" dxfId="1" priority="2">
      <formula>OR(AND(LEN($A27)&gt;0,LEN($S27)=0))</formula>
    </cfRule>
  </conditionalFormatting>
  <conditionalFormatting sqref="S27:W50">
    <cfRule type="expression" dxfId="0" priority="1">
      <formula>AND(COUNTA($T27:$W27)=0,$S27&gt;0)</formula>
    </cfRule>
  </conditionalFormatting>
  <dataValidations xWindow="45" yWindow="273" count="35">
    <dataValidation type="list" allowBlank="1" showErrorMessage="1" errorTitle="Error code" error="Select a valid Species code" promptTitle="Species codes" prompt="Select from the list" sqref="C14" xr:uid="{00000000-0002-0000-0000-000000000000}">
      <formula1>SpeciesCode</formula1>
    </dataValidation>
    <dataValidation type="list" allowBlank="1" showErrorMessage="1" errorTitle="Error code" error="Select a valid Sample Unit code" promptTitle="Sample Unit codes" prompt="Select from the list" sqref="H14" xr:uid="{00000000-0002-0000-0000-000001000000}">
      <formula1>SampleUnitCode</formula1>
    </dataValidation>
    <dataValidation type="list" allowBlank="1" showErrorMessage="1" errorTitle="Error code" error="Select a valid Sampling Location code" promptTitle="Sampling Location codes" prompt="Select from the list" sqref="H13" xr:uid="{00000000-0002-0000-0000-000002000000}">
      <formula1>SampLocatCode</formula1>
    </dataValidation>
    <dataValidation type="list" allowBlank="1" showErrorMessage="1" errorTitle="Error code" error="Invalid size frequency type code" promptTitle="Size Frequency type codes" prompt="Select from the list" sqref="H17" xr:uid="{00000000-0002-0000-0000-000003000000}">
      <formula1>FreqTypeCode</formula1>
    </dataValidation>
    <dataValidation type="list" allowBlank="1" showErrorMessage="1" errorTitle="Error" error="Invalid option" promptTitle="Size class Interval" prompt="Select an option_x000a_Default: 1" sqref="H18" xr:uid="{00000000-0002-0000-0000-000004000000}">
      <formula1>"1, 2, 5"</formula1>
    </dataValidation>
    <dataValidation type="list" allowBlank="1" showInputMessage="1" showErrorMessage="1" errorTitle="Error code" error="Select a valid Product type code" promptTitle="Product type codes" prompt="Select from the list" sqref="C15" xr:uid="{00000000-0002-0000-0000-000005000000}">
      <formula1>ProdTypeCode</formula1>
    </dataValidation>
    <dataValidation type="list" allowBlank="1" showInputMessage="1" showErrorMessage="1" sqref="R2" xr:uid="{00000000-0002-0000-0000-000006000000}">
      <formula1>"ENG,FRA,ESP"</formula1>
    </dataValidation>
    <dataValidation type="list" allowBlank="1" showInputMessage="1" showErrorMessage="1" errorTitle="Country code not defined" error="Select a valid Country code" promptTitle="Country codes" prompt="Select from the list" sqref="G9" xr:uid="{00000000-0002-0000-0000-000007000000}">
      <formula1>FlagName</formula1>
    </dataValidation>
    <dataValidation type="list" allowBlank="1" showErrorMessage="1" errorTitle="Error value" error="option not valid" promptTitle="Raised to Sample Unit" prompt="Select option_x000a_(default = NO)" sqref="H15" xr:uid="{00000000-0002-0000-0000-000008000000}">
      <formula1>"YES,NO"</formula1>
    </dataValidation>
    <dataValidation type="list" allowBlank="1" showErrorMessage="1" errorTitle="Error code" error="Select a valid Class limit code" promptTitle="Class limit codes" prompt="Select from the list" sqref="H19" xr:uid="{00000000-0002-0000-0000-000009000000}">
      <formula1>ClassLimitCode</formula1>
    </dataValidation>
    <dataValidation type="list" allowBlank="1" showInputMessage="1" showErrorMessage="1" sqref="C18:D18" xr:uid="{00000000-0002-0000-0000-00000A000000}">
      <formula1>Content</formula1>
    </dataValidation>
    <dataValidation type="list" allowBlank="1" showErrorMessage="1" errorTitle="Version reported" error="Select a valid option" promptTitle="Version reported" prompt="Preliminary or final" sqref="C17:D17" xr:uid="{00000000-0002-0000-0000-00000B000000}">
      <formula1>Version</formula1>
    </dataValidation>
    <dataValidation type="list" allowBlank="1" showErrorMessage="1" errorTitle="Reporting Flag name not defined" error="Select a valid Reporting Flag name" promptTitle="Reporting Flag names" prompt="Select from the list" sqref="C12:D12" xr:uid="{00000000-0002-0000-0000-00000C000000}">
      <formula1>FlagName</formula1>
    </dataValidation>
    <dataValidation type="whole" allowBlank="1" showErrorMessage="1" errorTitle="Invalid year" error="Not between [from year] and Current Year" promptTitle="Year (4 digits)" prompt="between 1950 and current Year" sqref="E13" xr:uid="{00000000-0002-0000-0000-00001A000000}">
      <formula1>$C$13</formula1>
      <formula2>YEAR(NOW())</formula2>
    </dataValidation>
    <dataValidation type="whole" operator="lessThan" allowBlank="1" showErrorMessage="1" errorTitle="Invalid year" error="Year outside range [1950, Current-1]" promptTitle="Year (4 digits)" prompt="between 1950 and current Year" sqref="C13" xr:uid="{00000000-0002-0000-0000-00001B000000}">
      <formula1>YEAR(NOW())</formula1>
    </dataValidation>
    <dataValidation type="textLength" allowBlank="1" showInputMessage="1" showErrorMessage="1" sqref="M6" xr:uid="{00000000-0002-0000-0000-000020000000}">
      <formula1>9</formula1>
      <formula2>9</formula2>
    </dataValidation>
    <dataValidation type="textLength" allowBlank="1" showInputMessage="1" showErrorMessage="1" sqref="M7" xr:uid="{0FB89D60-210F-4053-8D25-695D5398A9B3}">
      <formula1>2</formula1>
      <formula2>2</formula2>
    </dataValidation>
    <dataValidation type="whole" allowBlank="1" showInputMessage="1" showErrorMessage="1" sqref="Q6:R8" xr:uid="{93CDECCA-E17C-4FA2-A821-61C102B4305B}">
      <formula1>0</formula1>
      <formula2>1</formula2>
    </dataValidation>
    <dataValidation type="date" operator="greaterThanOrEqual" allowBlank="1" showInputMessage="1" showErrorMessage="1" sqref="M5:N5" xr:uid="{E5F20896-7C3D-42AE-935C-C8A4C6EB0ECA}">
      <formula1>DATE(YEAR(NOW()),1,1)</formula1>
    </dataValidation>
    <dataValidation type="list" allowBlank="1" showErrorMessage="1" errorTitle="Error code" error="Select from the list a valid School Type code" promptTitle="School Type code" prompt="Select from the list" sqref="G27:G50" xr:uid="{00000000-0002-0000-0000-00000D000000}">
      <formula1>SchoolTypeCode</formula1>
    </dataValidation>
    <dataValidation type="whole" operator="greaterThanOrEqual" allowBlank="1" showErrorMessage="1" errorTitle="Error" error="wrong integer (&gt;=0)_x000a__x000a_Input values (integers &gt;=0 only)" sqref="T27:W50" xr:uid="{00000000-0002-0000-0000-00000E000000}">
      <formula1>0</formula1>
    </dataValidation>
    <dataValidation type="decimal" operator="greaterThanOrEqual" allowBlank="1" showErrorMessage="1" errorTitle="Error" error="Invalid value_x000a__x000a_input integers (&gt;=0)" promptTitle="Total weight (fish sampled)" prompt="_x000a_" sqref="Q27:R50" xr:uid="{00000000-0002-0000-0000-00000F000000}">
      <formula1>0</formula1>
    </dataValidation>
    <dataValidation type="whole" operator="greaterThan" allowBlank="1" showInputMessage="1" showErrorMessage="1" errorTitle="Error" error="Invalid value_x000a__x000a_input integers (&gt;0)_x000a_(multiples of interval selected)" sqref="S27:S50" xr:uid="{00000000-0002-0000-0000-000010000000}">
      <formula1>0</formula1>
    </dataValidation>
    <dataValidation type="list" allowBlank="1" showErrorMessage="1" errorTitle="Error code" error="Select from the list a valid Data source code" promptTitle="Data source code" prompt="Select from the list" sqref="M27:M50" xr:uid="{00000000-0002-0000-0000-000011000000}">
      <formula1>DataSourceCode</formula1>
    </dataValidation>
    <dataValidation type="list" allowBlank="1" showErrorMessage="1" errorTitle="Error code" error="Select from the list a valid Quadrant code" promptTitle="Quadrant code" prompt="Select from the list" sqref="J27:J50" xr:uid="{00000000-0002-0000-0000-000012000000}">
      <formula1>QuadCode</formula1>
    </dataValidation>
    <dataValidation type="list" allowBlank="1" showErrorMessage="1" errorTitle="Error code" error="Select from the list a valid Square Type code" promptTitle="Square Type code" prompt="Select from the list" sqref="I27:I50" xr:uid="{00000000-0002-0000-0000-000013000000}">
      <formula1>SquareTypeCode</formula1>
    </dataValidation>
    <dataValidation type="list" allowBlank="1" showErrorMessage="1" errorTitle="Error" error="Select from the list a Gear code_x000a_" promptTitle="Gear code" prompt="Select from the list" sqref="E27:E50" xr:uid="{00000000-0002-0000-0000-000014000000}">
      <formula1>GearCode</formula1>
    </dataValidation>
    <dataValidation type="list" allowBlank="1" showInputMessage="1" showErrorMessage="1" sqref="A27:A50" xr:uid="{00000000-0002-0000-0000-000015000000}">
      <formula1>FlagA3ISO</formula1>
    </dataValidation>
    <dataValidation type="list" allowBlank="1" showErrorMessage="1" errorTitle="Error code" error="Select from the list a valid Sample Area code" promptTitle="Sampling Area code" prompt="Select from the list" sqref="H27:H50" xr:uid="{00000000-0002-0000-0000-000016000000}">
      <formula1>SampAreaCode</formula1>
    </dataValidation>
    <dataValidation type="whole" allowBlank="1" showErrorMessage="1" sqref="L27:L50" xr:uid="{00000000-0002-0000-0000-000017000000}">
      <formula1>0</formula1>
      <formula2>100</formula2>
    </dataValidation>
    <dataValidation type="whole" allowBlank="1" showInputMessage="1" showErrorMessage="1" sqref="K27:K50" xr:uid="{00000000-0002-0000-0000-000018000000}">
      <formula1>0</formula1>
      <formula2>90</formula2>
    </dataValidation>
    <dataValidation type="decimal" operator="greaterThan" allowBlank="1" showInputMessage="1" showErrorMessage="1" sqref="N27:N50" xr:uid="{00000000-0002-0000-0000-000019000000}">
      <formula1>0</formula1>
    </dataValidation>
    <dataValidation type="whole" allowBlank="1" showInputMessage="1" showErrorMessage="1" sqref="C27:C50" xr:uid="{00000000-0002-0000-0000-00001C000000}">
      <formula1>$C$13</formula1>
      <formula2>$E$13</formula2>
    </dataValidation>
    <dataValidation type="whole" allowBlank="1" showErrorMessage="1" errorTitle="Wrong Month" error="Value between 1 and 12" promptTitle="Month OR Quarter" prompt="Choose Time Period:_x000a_Month [1,12] OR Quarter [13,16]_x000a_" sqref="P27:P50 D27:D50" xr:uid="{00000000-0002-0000-0000-00001D000000}">
      <formula1>1</formula1>
      <formula2>12</formula2>
    </dataValidation>
    <dataValidation type="list" allowBlank="1" showErrorMessage="1" errorTitle="Wrong Month" error="Value between 1 and 12" promptTitle="Month OR Quarter" prompt="Choose Time Period:_x000a_Month [1,12] OR Quarter [13,16]_x000a_" sqref="F27:F50" xr:uid="{00000000-0002-0000-0000-00001E000000}">
      <formula1>CatchTypeCode</formula1>
    </dataValidation>
  </dataValidations>
  <hyperlinks>
    <hyperlink ref="A23:A24" location="FlagA3ISO" display="FlagA3ISO" xr:uid="{00000000-0004-0000-0000-000000000000}"/>
    <hyperlink ref="A12:B12" location="FlagName" display="FlagName" xr:uid="{00000000-0004-0000-0000-000001000000}"/>
    <hyperlink ref="B14" location="SpeciesCode" display="SpeciesCode" xr:uid="{00000000-0004-0000-0000-000002000000}"/>
    <hyperlink ref="B23:B24" location="FleetSuffixes" display="FleetSuffixes" xr:uid="{00000000-0004-0000-0000-000003000000}"/>
    <hyperlink ref="E23:E24" location="GearCode" display="GearCode" xr:uid="{00000000-0004-0000-0000-000004000000}"/>
    <hyperlink ref="H24" location="SampAreaCode" display="SampAreaCode" xr:uid="{00000000-0004-0000-0000-000005000000}"/>
    <hyperlink ref="I24" location="SquareTypeCode" display="SquareTypeCode" xr:uid="{00000000-0004-0000-0000-000006000000}"/>
    <hyperlink ref="J24" location="SquareTypeCode" display="SquareTypeCode" xr:uid="{00000000-0004-0000-0000-000007000000}"/>
    <hyperlink ref="M23:M24" location="DataSourceCode" display="DataSourceCode" xr:uid="{00000000-0004-0000-0000-000008000000}"/>
    <hyperlink ref="F13" location="SampLocatCode" display="SampLocatCode" xr:uid="{00000000-0004-0000-0000-000009000000}"/>
    <hyperlink ref="F14" location="SampleUnitCode" display="SampleUnitCode" xr:uid="{00000000-0004-0000-0000-00000A000000}"/>
    <hyperlink ref="F23:F24" location="CatchTypeCode" display="CatchTypeCode" xr:uid="{00000000-0004-0000-0000-00000B000000}"/>
    <hyperlink ref="G23:G24" location="SchoolTypeCode" display="SchoolTypeCode" xr:uid="{00000000-0004-0000-0000-00000C000000}"/>
    <hyperlink ref="F17:G17" location="FreqTypeCode" display="FreqTypeCode" xr:uid="{00000000-0004-0000-0000-00000D000000}"/>
    <hyperlink ref="G19" location="ClassLimitCode" display="ClassLimitCode" xr:uid="{00000000-0004-0000-0000-00000E000000}"/>
    <hyperlink ref="A17:B17" location="Version" display="Version" xr:uid="{00000000-0004-0000-0000-00000F000000}"/>
    <hyperlink ref="A18:B18" location="Content" display="Content" xr:uid="{00000000-0004-0000-0000-000010000000}"/>
    <hyperlink ref="Q4:R4" location="filters!A1" display="filters!A1" xr:uid="{00000000-0004-0000-0000-000011000000}"/>
    <hyperlink ref="F9" location="FlagName" display="FlagName" xr:uid="{00000000-0004-0000-0000-000012000000}"/>
    <hyperlink ref="F13:G13" location="SampLocatCode" display="SampLocatCode" xr:uid="{00000000-0004-0000-0000-000013000000}"/>
    <hyperlink ref="F14:G14" location="SampleUnitCode" display="SampleUnitCode" xr:uid="{00000000-0004-0000-0000-000014000000}"/>
    <hyperlink ref="B15" location="ProdTypeCode" display="ProdTypeCode" xr:uid="{00000000-0004-0000-0000-000015000000}"/>
  </hyperlinks>
  <pageMargins left="0.39370078740157483" right="0.39370078740157483" top="0.39370078740157483" bottom="0.39370078740157483" header="0.31496062992125984" footer="0.31496062992125984"/>
  <pageSetup paperSize="9" scale="67" orientation="landscape" r:id="rId1"/>
  <drawing r:id="rId2"/>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AD223"/>
  <sheetViews>
    <sheetView zoomScaleNormal="100" zoomScaleSheetLayoutView="100" workbookViewId="0">
      <pane ySplit="2" topLeftCell="A3" activePane="bottomLeft" state="frozen"/>
      <selection pane="bottomLeft" activeCell="A3" sqref="A3"/>
    </sheetView>
  </sheetViews>
  <sheetFormatPr defaultColWidth="6" defaultRowHeight="11.55" x14ac:dyDescent="0.2"/>
  <cols>
    <col min="1" max="1" width="18.25" style="3" bestFit="1" customWidth="1"/>
    <col min="2" max="2" width="6.875" style="3" bestFit="1" customWidth="1"/>
    <col min="3" max="3" width="7.5" style="3" bestFit="1" customWidth="1"/>
    <col min="4" max="4" width="55.75" style="3" bestFit="1" customWidth="1"/>
    <col min="5" max="6" width="7.5" style="3" bestFit="1" customWidth="1"/>
    <col min="7" max="7" width="2.25" style="3" customWidth="1"/>
    <col min="8" max="8" width="9.125" style="3" bestFit="1" customWidth="1"/>
    <col min="9" max="10" width="21.875" style="3" bestFit="1" customWidth="1"/>
    <col min="11" max="11" width="21.5" style="3" bestFit="1" customWidth="1"/>
    <col min="12" max="12" width="22" style="3" bestFit="1" customWidth="1"/>
    <col min="13" max="13" width="14" style="3" bestFit="1" customWidth="1"/>
    <col min="14" max="14" width="9.5" style="3" bestFit="1" customWidth="1"/>
    <col min="15" max="15" width="5.875" style="3" customWidth="1"/>
    <col min="16" max="16" width="10.125" style="3" bestFit="1" customWidth="1"/>
    <col min="17" max="17" width="6.375" style="3" bestFit="1" customWidth="1"/>
    <col min="18" max="18" width="7.125" style="3" bestFit="1" customWidth="1"/>
    <col min="19" max="19" width="15.125" style="3" bestFit="1" customWidth="1"/>
    <col min="20" max="20" width="2.25" style="3" customWidth="1"/>
    <col min="21" max="21" width="12" style="3" bestFit="1" customWidth="1"/>
    <col min="22" max="22" width="42.5" style="3" bestFit="1" customWidth="1"/>
    <col min="23" max="23" width="8.125" style="3" bestFit="1" customWidth="1"/>
    <col min="24" max="24" width="2.25" style="3" customWidth="1"/>
    <col min="25" max="25" width="13.25" style="3" bestFit="1" customWidth="1"/>
    <col min="26" max="26" width="49.375" style="3" bestFit="1" customWidth="1"/>
    <col min="27" max="27" width="8.25" style="3" bestFit="1" customWidth="1"/>
    <col min="28" max="28" width="8.75" style="3" bestFit="1" customWidth="1"/>
    <col min="29" max="29" width="9.75" style="3" bestFit="1" customWidth="1"/>
    <col min="30" max="30" width="24.25" style="3" bestFit="1" customWidth="1"/>
    <col min="31" max="16384" width="6" style="3"/>
  </cols>
  <sheetData>
    <row r="1" spans="1:30" x14ac:dyDescent="0.2">
      <c r="A1" s="322" t="s">
        <v>1842</v>
      </c>
      <c r="B1" s="322"/>
      <c r="C1" s="322"/>
      <c r="D1" s="322"/>
      <c r="E1" s="322"/>
      <c r="F1" s="322"/>
      <c r="H1" s="323" t="s">
        <v>1818</v>
      </c>
      <c r="I1" s="323"/>
      <c r="J1" s="323"/>
      <c r="K1" s="323"/>
      <c r="L1" s="323"/>
      <c r="M1" s="323"/>
      <c r="N1" s="323"/>
      <c r="P1" s="321" t="s">
        <v>2392</v>
      </c>
      <c r="Q1" s="321"/>
      <c r="R1" s="321"/>
      <c r="S1" s="321"/>
      <c r="U1" s="324" t="s">
        <v>1140</v>
      </c>
      <c r="V1" s="324"/>
      <c r="W1" s="324"/>
      <c r="Y1" s="320" t="s">
        <v>1132</v>
      </c>
      <c r="Z1" s="320"/>
      <c r="AB1" s="320" t="s">
        <v>1138</v>
      </c>
      <c r="AC1" s="320"/>
      <c r="AD1" s="320"/>
    </row>
    <row r="2" spans="1:30" x14ac:dyDescent="0.2">
      <c r="A2" s="218" t="s">
        <v>758</v>
      </c>
      <c r="B2" s="219" t="s">
        <v>2226</v>
      </c>
      <c r="C2" s="219" t="s">
        <v>2227</v>
      </c>
      <c r="D2" s="220" t="s">
        <v>2382</v>
      </c>
      <c r="E2" s="219" t="s">
        <v>759</v>
      </c>
      <c r="F2" s="221" t="s">
        <v>760</v>
      </c>
      <c r="H2" s="151" t="s">
        <v>2246</v>
      </c>
      <c r="I2" s="152" t="s">
        <v>901</v>
      </c>
      <c r="J2" s="152" t="s">
        <v>902</v>
      </c>
      <c r="K2" s="152" t="s">
        <v>903</v>
      </c>
      <c r="L2" s="152" t="s">
        <v>904</v>
      </c>
      <c r="M2" s="152" t="s">
        <v>905</v>
      </c>
      <c r="N2" s="153" t="s">
        <v>906</v>
      </c>
      <c r="P2" s="74" t="s">
        <v>1989</v>
      </c>
      <c r="Q2" s="39" t="s">
        <v>710</v>
      </c>
      <c r="R2" s="75" t="s">
        <v>1990</v>
      </c>
      <c r="S2" s="76" t="s">
        <v>709</v>
      </c>
      <c r="T2" s="4"/>
      <c r="U2" s="40" t="s">
        <v>2248</v>
      </c>
      <c r="V2" s="38" t="s">
        <v>425</v>
      </c>
      <c r="W2" s="41" t="s">
        <v>426</v>
      </c>
      <c r="Y2" s="62" t="s">
        <v>2252</v>
      </c>
      <c r="Z2" s="63" t="s">
        <v>478</v>
      </c>
      <c r="AB2" s="56" t="s">
        <v>708</v>
      </c>
      <c r="AC2" s="57" t="s">
        <v>1991</v>
      </c>
      <c r="AD2" s="58" t="s">
        <v>70</v>
      </c>
    </row>
    <row r="3" spans="1:30" x14ac:dyDescent="0.2">
      <c r="A3" s="222" t="s">
        <v>706</v>
      </c>
      <c r="B3" s="223" t="s">
        <v>691</v>
      </c>
      <c r="C3" s="223" t="s">
        <v>291</v>
      </c>
      <c r="D3" s="217"/>
      <c r="E3" s="223" t="s">
        <v>691</v>
      </c>
      <c r="F3" s="224" t="s">
        <v>761</v>
      </c>
      <c r="H3" s="238" t="s">
        <v>654</v>
      </c>
      <c r="I3" s="239" t="s">
        <v>705</v>
      </c>
      <c r="J3" s="239" t="s">
        <v>2409</v>
      </c>
      <c r="K3" s="239" t="s">
        <v>2410</v>
      </c>
      <c r="L3" s="239" t="s">
        <v>2411</v>
      </c>
      <c r="M3" s="240" t="s">
        <v>907</v>
      </c>
      <c r="N3" s="241" t="s">
        <v>908</v>
      </c>
      <c r="P3" s="211" t="s">
        <v>704</v>
      </c>
      <c r="Q3" s="1" t="s">
        <v>93</v>
      </c>
      <c r="R3" s="315" t="s">
        <v>703</v>
      </c>
      <c r="S3" s="319" t="s">
        <v>691</v>
      </c>
      <c r="U3" s="238" t="s">
        <v>206</v>
      </c>
      <c r="V3" s="239" t="s">
        <v>417</v>
      </c>
      <c r="W3" s="253" t="s">
        <v>206</v>
      </c>
      <c r="Y3" s="21" t="s">
        <v>468</v>
      </c>
      <c r="Z3" s="7" t="s">
        <v>467</v>
      </c>
      <c r="AB3" s="5">
        <v>0</v>
      </c>
      <c r="AC3" s="6" t="s">
        <v>199</v>
      </c>
      <c r="AD3" s="7" t="s">
        <v>2030</v>
      </c>
    </row>
    <row r="4" spans="1:30" x14ac:dyDescent="0.2">
      <c r="A4" s="222" t="s">
        <v>702</v>
      </c>
      <c r="B4" s="223" t="s">
        <v>701</v>
      </c>
      <c r="C4" s="223" t="s">
        <v>291</v>
      </c>
      <c r="D4" s="217"/>
      <c r="E4" s="223" t="s">
        <v>701</v>
      </c>
      <c r="F4" s="224" t="s">
        <v>762</v>
      </c>
      <c r="H4" s="242" t="s">
        <v>308</v>
      </c>
      <c r="I4" s="201" t="s">
        <v>700</v>
      </c>
      <c r="J4" s="201" t="s">
        <v>699</v>
      </c>
      <c r="K4" s="201" t="s">
        <v>689</v>
      </c>
      <c r="L4" s="201" t="s">
        <v>698</v>
      </c>
      <c r="M4" s="154" t="s">
        <v>907</v>
      </c>
      <c r="N4" s="43" t="s">
        <v>908</v>
      </c>
      <c r="P4" s="211" t="s">
        <v>697</v>
      </c>
      <c r="Q4" s="1" t="s">
        <v>93</v>
      </c>
      <c r="R4" s="315"/>
      <c r="S4" s="319"/>
      <c r="U4" s="242" t="s">
        <v>413</v>
      </c>
      <c r="V4" s="201" t="s">
        <v>2359</v>
      </c>
      <c r="W4" s="254" t="s">
        <v>206</v>
      </c>
      <c r="Y4" s="21" t="s">
        <v>457</v>
      </c>
      <c r="Z4" s="7" t="s">
        <v>456</v>
      </c>
      <c r="AB4" s="5">
        <v>1</v>
      </c>
      <c r="AC4" s="6" t="s">
        <v>696</v>
      </c>
      <c r="AD4" s="7" t="s">
        <v>695</v>
      </c>
    </row>
    <row r="5" spans="1:30" x14ac:dyDescent="0.2">
      <c r="A5" s="222" t="s">
        <v>693</v>
      </c>
      <c r="B5" s="223" t="s">
        <v>692</v>
      </c>
      <c r="C5" s="223" t="s">
        <v>291</v>
      </c>
      <c r="D5" s="217"/>
      <c r="E5" s="223" t="s">
        <v>692</v>
      </c>
      <c r="F5" s="224" t="s">
        <v>763</v>
      </c>
      <c r="H5" s="242" t="s">
        <v>691</v>
      </c>
      <c r="I5" s="201" t="s">
        <v>690</v>
      </c>
      <c r="J5" s="201" t="s">
        <v>689</v>
      </c>
      <c r="K5" s="201" t="s">
        <v>688</v>
      </c>
      <c r="L5" s="201" t="s">
        <v>687</v>
      </c>
      <c r="M5" s="154" t="s">
        <v>907</v>
      </c>
      <c r="N5" s="43" t="s">
        <v>908</v>
      </c>
      <c r="P5" s="211" t="s">
        <v>686</v>
      </c>
      <c r="Q5" s="1" t="s">
        <v>93</v>
      </c>
      <c r="R5" s="315" t="s">
        <v>685</v>
      </c>
      <c r="S5" s="319"/>
      <c r="U5" s="242" t="s">
        <v>388</v>
      </c>
      <c r="V5" s="201" t="s">
        <v>2360</v>
      </c>
      <c r="W5" s="254" t="s">
        <v>206</v>
      </c>
      <c r="Y5" s="21" t="s">
        <v>447</v>
      </c>
      <c r="Z5" s="7" t="s">
        <v>446</v>
      </c>
      <c r="AB5" s="5">
        <v>2</v>
      </c>
      <c r="AC5" s="6" t="s">
        <v>684</v>
      </c>
      <c r="AD5" s="7" t="s">
        <v>683</v>
      </c>
    </row>
    <row r="6" spans="1:30" x14ac:dyDescent="0.2">
      <c r="A6" s="222" t="s">
        <v>680</v>
      </c>
      <c r="B6" s="223" t="s">
        <v>679</v>
      </c>
      <c r="C6" s="223" t="s">
        <v>291</v>
      </c>
      <c r="D6" s="217"/>
      <c r="E6" s="223" t="s">
        <v>679</v>
      </c>
      <c r="F6" s="224" t="s">
        <v>297</v>
      </c>
      <c r="H6" s="242" t="s">
        <v>517</v>
      </c>
      <c r="I6" s="201" t="s">
        <v>678</v>
      </c>
      <c r="J6" s="201" t="s">
        <v>677</v>
      </c>
      <c r="K6" s="201" t="s">
        <v>676</v>
      </c>
      <c r="L6" s="201" t="s">
        <v>675</v>
      </c>
      <c r="M6" s="154" t="s">
        <v>907</v>
      </c>
      <c r="N6" s="43" t="s">
        <v>908</v>
      </c>
      <c r="P6" s="211" t="s">
        <v>674</v>
      </c>
      <c r="Q6" s="1" t="s">
        <v>93</v>
      </c>
      <c r="R6" s="315"/>
      <c r="S6" s="319"/>
      <c r="U6" s="242" t="s">
        <v>384</v>
      </c>
      <c r="V6" s="201" t="s">
        <v>1819</v>
      </c>
      <c r="W6" s="254" t="s">
        <v>206</v>
      </c>
      <c r="Y6" s="21" t="s">
        <v>443</v>
      </c>
      <c r="Z6" s="7" t="s">
        <v>442</v>
      </c>
      <c r="AB6" s="5">
        <v>3</v>
      </c>
      <c r="AC6" s="6" t="s">
        <v>673</v>
      </c>
      <c r="AD6" s="7" t="s">
        <v>672</v>
      </c>
    </row>
    <row r="7" spans="1:30" x14ac:dyDescent="0.2">
      <c r="A7" s="222" t="s">
        <v>669</v>
      </c>
      <c r="B7" s="223" t="s">
        <v>668</v>
      </c>
      <c r="C7" s="223" t="s">
        <v>291</v>
      </c>
      <c r="D7" s="217" t="s">
        <v>2393</v>
      </c>
      <c r="E7" s="223" t="s">
        <v>668</v>
      </c>
      <c r="F7" s="224" t="s">
        <v>764</v>
      </c>
      <c r="H7" s="242" t="s">
        <v>374</v>
      </c>
      <c r="I7" s="201" t="s">
        <v>667</v>
      </c>
      <c r="J7" s="201" t="s">
        <v>666</v>
      </c>
      <c r="K7" s="201" t="s">
        <v>665</v>
      </c>
      <c r="L7" s="201" t="s">
        <v>664</v>
      </c>
      <c r="M7" s="154" t="s">
        <v>907</v>
      </c>
      <c r="N7" s="43" t="s">
        <v>908</v>
      </c>
      <c r="P7" s="211" t="s">
        <v>663</v>
      </c>
      <c r="Q7" s="213" t="s">
        <v>91</v>
      </c>
      <c r="R7" s="212" t="s">
        <v>662</v>
      </c>
      <c r="S7" s="319"/>
      <c r="U7" s="242" t="s">
        <v>379</v>
      </c>
      <c r="V7" s="201" t="s">
        <v>2040</v>
      </c>
      <c r="W7" s="254" t="s">
        <v>206</v>
      </c>
      <c r="Y7" s="20" t="s">
        <v>196</v>
      </c>
      <c r="Z7" s="19" t="s">
        <v>1847</v>
      </c>
      <c r="AB7" s="10">
        <v>4</v>
      </c>
      <c r="AC7" s="11" t="s">
        <v>661</v>
      </c>
      <c r="AD7" s="12" t="s">
        <v>660</v>
      </c>
    </row>
    <row r="8" spans="1:30" x14ac:dyDescent="0.2">
      <c r="A8" s="222" t="s">
        <v>657</v>
      </c>
      <c r="B8" s="223" t="s">
        <v>656</v>
      </c>
      <c r="C8" s="223" t="s">
        <v>291</v>
      </c>
      <c r="D8" s="217" t="s">
        <v>1843</v>
      </c>
      <c r="E8" s="223" t="s">
        <v>656</v>
      </c>
      <c r="F8" s="224" t="s">
        <v>765</v>
      </c>
      <c r="H8" s="243" t="s">
        <v>2412</v>
      </c>
      <c r="I8" s="244" t="s">
        <v>2413</v>
      </c>
      <c r="J8" s="245" t="s">
        <v>2414</v>
      </c>
      <c r="K8" s="245" t="s">
        <v>2415</v>
      </c>
      <c r="L8" s="245" t="s">
        <v>2416</v>
      </c>
      <c r="M8" s="154" t="s">
        <v>907</v>
      </c>
      <c r="N8" s="43" t="s">
        <v>908</v>
      </c>
      <c r="P8" s="211" t="s">
        <v>646</v>
      </c>
      <c r="Q8" s="1" t="s">
        <v>93</v>
      </c>
      <c r="R8" s="315" t="s">
        <v>655</v>
      </c>
      <c r="S8" s="318" t="s">
        <v>654</v>
      </c>
      <c r="U8" s="242" t="s">
        <v>2361</v>
      </c>
      <c r="V8" s="255" t="s">
        <v>2362</v>
      </c>
      <c r="W8" s="254" t="s">
        <v>206</v>
      </c>
    </row>
    <row r="9" spans="1:30" x14ac:dyDescent="0.2">
      <c r="A9" s="222" t="s">
        <v>2403</v>
      </c>
      <c r="B9" s="223" t="s">
        <v>643</v>
      </c>
      <c r="C9" s="223" t="s">
        <v>291</v>
      </c>
      <c r="D9" s="217" t="s">
        <v>2394</v>
      </c>
      <c r="E9" s="223" t="s">
        <v>643</v>
      </c>
      <c r="F9" s="224" t="s">
        <v>767</v>
      </c>
      <c r="H9" s="242" t="s">
        <v>164</v>
      </c>
      <c r="I9" s="201" t="s">
        <v>650</v>
      </c>
      <c r="J9" s="202" t="s">
        <v>649</v>
      </c>
      <c r="K9" s="202" t="s">
        <v>648</v>
      </c>
      <c r="L9" s="202" t="s">
        <v>647</v>
      </c>
      <c r="M9" s="154" t="s">
        <v>907</v>
      </c>
      <c r="N9" s="43" t="s">
        <v>908</v>
      </c>
      <c r="P9" s="211" t="s">
        <v>639</v>
      </c>
      <c r="Q9" s="1" t="s">
        <v>93</v>
      </c>
      <c r="R9" s="315"/>
      <c r="S9" s="318"/>
      <c r="U9" s="242" t="s">
        <v>373</v>
      </c>
      <c r="V9" s="201" t="s">
        <v>2041</v>
      </c>
      <c r="W9" s="254" t="s">
        <v>206</v>
      </c>
    </row>
    <row r="10" spans="1:30" x14ac:dyDescent="0.2">
      <c r="A10" s="222" t="s">
        <v>651</v>
      </c>
      <c r="B10" s="223" t="s">
        <v>508</v>
      </c>
      <c r="C10" s="223" t="s">
        <v>291</v>
      </c>
      <c r="D10" s="217"/>
      <c r="E10" s="223" t="s">
        <v>508</v>
      </c>
      <c r="F10" s="224" t="s">
        <v>766</v>
      </c>
      <c r="H10" s="242" t="s">
        <v>133</v>
      </c>
      <c r="I10" s="201" t="s">
        <v>2247</v>
      </c>
      <c r="J10" s="201" t="s">
        <v>642</v>
      </c>
      <c r="K10" s="201" t="s">
        <v>641</v>
      </c>
      <c r="L10" s="201" t="s">
        <v>640</v>
      </c>
      <c r="M10" s="154" t="s">
        <v>907</v>
      </c>
      <c r="N10" s="43" t="s">
        <v>908</v>
      </c>
      <c r="P10" s="211" t="s">
        <v>625</v>
      </c>
      <c r="Q10" s="1" t="s">
        <v>93</v>
      </c>
      <c r="R10" s="315"/>
      <c r="S10" s="318"/>
      <c r="U10" s="242" t="s">
        <v>391</v>
      </c>
      <c r="V10" s="201" t="s">
        <v>1820</v>
      </c>
      <c r="W10" s="254" t="s">
        <v>206</v>
      </c>
      <c r="Y10" s="320" t="s">
        <v>2048</v>
      </c>
      <c r="Z10" s="320"/>
      <c r="AB10" s="320" t="s">
        <v>1139</v>
      </c>
      <c r="AC10" s="320"/>
      <c r="AD10" s="320"/>
    </row>
    <row r="11" spans="1:30" x14ac:dyDescent="0.2">
      <c r="A11" s="222" t="s">
        <v>636</v>
      </c>
      <c r="B11" s="223" t="s">
        <v>635</v>
      </c>
      <c r="C11" s="223" t="s">
        <v>291</v>
      </c>
      <c r="D11" s="217"/>
      <c r="E11" s="223" t="s">
        <v>635</v>
      </c>
      <c r="F11" s="224" t="s">
        <v>768</v>
      </c>
      <c r="H11" s="242" t="s">
        <v>184</v>
      </c>
      <c r="I11" s="201" t="s">
        <v>634</v>
      </c>
      <c r="J11" s="201" t="s">
        <v>633</v>
      </c>
      <c r="K11" s="201" t="s">
        <v>632</v>
      </c>
      <c r="L11" s="201" t="s">
        <v>631</v>
      </c>
      <c r="M11" s="154" t="s">
        <v>907</v>
      </c>
      <c r="N11" s="43" t="s">
        <v>908</v>
      </c>
      <c r="P11" s="211" t="s">
        <v>617</v>
      </c>
      <c r="Q11" s="1" t="s">
        <v>93</v>
      </c>
      <c r="R11" s="315"/>
      <c r="S11" s="318"/>
      <c r="U11" s="242" t="s">
        <v>366</v>
      </c>
      <c r="V11" s="201" t="s">
        <v>1821</v>
      </c>
      <c r="W11" s="254" t="s">
        <v>206</v>
      </c>
      <c r="Y11" s="62" t="s">
        <v>2253</v>
      </c>
      <c r="Z11" s="63" t="s">
        <v>2045</v>
      </c>
      <c r="AB11" s="178" t="s">
        <v>509</v>
      </c>
      <c r="AC11" s="179" t="s">
        <v>1980</v>
      </c>
      <c r="AD11" s="180" t="s">
        <v>1978</v>
      </c>
    </row>
    <row r="12" spans="1:30" x14ac:dyDescent="0.2">
      <c r="A12" s="222" t="s">
        <v>198</v>
      </c>
      <c r="B12" s="223" t="s">
        <v>197</v>
      </c>
      <c r="C12" s="223" t="s">
        <v>291</v>
      </c>
      <c r="D12" s="217"/>
      <c r="E12" s="223" t="s">
        <v>197</v>
      </c>
      <c r="F12" s="224" t="s">
        <v>868</v>
      </c>
      <c r="H12" s="242" t="s">
        <v>107</v>
      </c>
      <c r="I12" s="201" t="s">
        <v>629</v>
      </c>
      <c r="J12" s="201" t="s">
        <v>628</v>
      </c>
      <c r="K12" s="201" t="s">
        <v>627</v>
      </c>
      <c r="L12" s="201" t="s">
        <v>626</v>
      </c>
      <c r="M12" s="150" t="s">
        <v>907</v>
      </c>
      <c r="N12" s="45" t="s">
        <v>908</v>
      </c>
      <c r="P12" s="211" t="s">
        <v>614</v>
      </c>
      <c r="Q12" s="213" t="s">
        <v>91</v>
      </c>
      <c r="R12" s="315"/>
      <c r="S12" s="318"/>
      <c r="U12" s="242" t="s">
        <v>2363</v>
      </c>
      <c r="V12" s="255" t="s">
        <v>2364</v>
      </c>
      <c r="W12" s="254" t="s">
        <v>206</v>
      </c>
      <c r="Y12" s="8" t="s">
        <v>1841</v>
      </c>
      <c r="Z12" s="9" t="s">
        <v>2372</v>
      </c>
      <c r="AB12" s="181">
        <v>1</v>
      </c>
      <c r="AC12" s="182" t="s">
        <v>496</v>
      </c>
      <c r="AD12" s="183" t="s">
        <v>495</v>
      </c>
    </row>
    <row r="13" spans="1:30" x14ac:dyDescent="0.2">
      <c r="A13" s="225" t="s">
        <v>195</v>
      </c>
      <c r="B13" s="217" t="s">
        <v>194</v>
      </c>
      <c r="C13" s="217" t="s">
        <v>291</v>
      </c>
      <c r="D13" s="217"/>
      <c r="E13" s="217" t="s">
        <v>194</v>
      </c>
      <c r="F13" s="226" t="s">
        <v>869</v>
      </c>
      <c r="H13" s="242" t="s">
        <v>570</v>
      </c>
      <c r="I13" s="201" t="s">
        <v>569</v>
      </c>
      <c r="J13" s="201" t="s">
        <v>568</v>
      </c>
      <c r="K13" s="201" t="s">
        <v>567</v>
      </c>
      <c r="L13" s="202" t="s">
        <v>566</v>
      </c>
      <c r="M13" s="154" t="s">
        <v>2021</v>
      </c>
      <c r="N13" s="43" t="s">
        <v>908</v>
      </c>
      <c r="P13" s="211" t="s">
        <v>608</v>
      </c>
      <c r="Q13" s="1" t="s">
        <v>93</v>
      </c>
      <c r="R13" s="315"/>
      <c r="S13" s="318"/>
      <c r="U13" s="242" t="s">
        <v>363</v>
      </c>
      <c r="V13" s="201" t="s">
        <v>1822</v>
      </c>
      <c r="W13" s="254" t="s">
        <v>206</v>
      </c>
      <c r="X13" s="15"/>
      <c r="Y13" s="8" t="s">
        <v>378</v>
      </c>
      <c r="Z13" s="9" t="s">
        <v>2377</v>
      </c>
      <c r="AB13" s="181">
        <v>3</v>
      </c>
      <c r="AC13" s="182" t="s">
        <v>484</v>
      </c>
      <c r="AD13" s="183" t="s">
        <v>1981</v>
      </c>
    </row>
    <row r="14" spans="1:30" x14ac:dyDescent="0.2">
      <c r="A14" s="222" t="s">
        <v>274</v>
      </c>
      <c r="B14" s="223" t="s">
        <v>273</v>
      </c>
      <c r="C14" s="223" t="s">
        <v>291</v>
      </c>
      <c r="D14" s="217" t="s">
        <v>2393</v>
      </c>
      <c r="E14" s="223" t="s">
        <v>273</v>
      </c>
      <c r="F14" s="224" t="s">
        <v>852</v>
      </c>
      <c r="H14" s="242" t="s">
        <v>564</v>
      </c>
      <c r="I14" s="201" t="s">
        <v>563</v>
      </c>
      <c r="J14" s="201" t="s">
        <v>562</v>
      </c>
      <c r="K14" s="201" t="s">
        <v>561</v>
      </c>
      <c r="L14" s="201" t="s">
        <v>560</v>
      </c>
      <c r="M14" s="154" t="s">
        <v>2021</v>
      </c>
      <c r="N14" s="43" t="s">
        <v>908</v>
      </c>
      <c r="P14" s="211" t="s">
        <v>597</v>
      </c>
      <c r="Q14" s="1" t="s">
        <v>93</v>
      </c>
      <c r="R14" s="315"/>
      <c r="S14" s="318"/>
      <c r="U14" s="242" t="s">
        <v>369</v>
      </c>
      <c r="V14" s="201" t="s">
        <v>2042</v>
      </c>
      <c r="W14" s="254" t="s">
        <v>206</v>
      </c>
      <c r="X14" s="15"/>
      <c r="Y14" s="8" t="s">
        <v>403</v>
      </c>
      <c r="Z14" s="9" t="s">
        <v>2047</v>
      </c>
      <c r="AB14" s="181">
        <v>5</v>
      </c>
      <c r="AC14" s="182" t="s">
        <v>470</v>
      </c>
      <c r="AD14" s="183" t="s">
        <v>469</v>
      </c>
    </row>
    <row r="15" spans="1:30" x14ac:dyDescent="0.2">
      <c r="A15" s="222" t="s">
        <v>1761</v>
      </c>
      <c r="B15" s="223" t="s">
        <v>630</v>
      </c>
      <c r="C15" s="223" t="s">
        <v>291</v>
      </c>
      <c r="D15" s="217" t="s">
        <v>2395</v>
      </c>
      <c r="E15" s="223" t="s">
        <v>630</v>
      </c>
      <c r="F15" s="224" t="s">
        <v>769</v>
      </c>
      <c r="H15" s="242" t="s">
        <v>559</v>
      </c>
      <c r="I15" s="201" t="s">
        <v>558</v>
      </c>
      <c r="J15" s="201" t="s">
        <v>557</v>
      </c>
      <c r="K15" s="201" t="s">
        <v>556</v>
      </c>
      <c r="L15" s="201" t="s">
        <v>555</v>
      </c>
      <c r="M15" s="154" t="s">
        <v>2021</v>
      </c>
      <c r="N15" s="43" t="s">
        <v>908</v>
      </c>
      <c r="P15" s="211" t="s">
        <v>1767</v>
      </c>
      <c r="Q15" s="1" t="s">
        <v>93</v>
      </c>
      <c r="R15" s="315"/>
      <c r="S15" s="318"/>
      <c r="U15" s="242" t="s">
        <v>320</v>
      </c>
      <c r="V15" s="201" t="s">
        <v>360</v>
      </c>
      <c r="W15" s="254" t="s">
        <v>320</v>
      </c>
      <c r="X15" s="15"/>
      <c r="Y15" s="8" t="s">
        <v>2374</v>
      </c>
      <c r="Z15" s="9" t="s">
        <v>2375</v>
      </c>
      <c r="AB15" s="181">
        <v>6</v>
      </c>
      <c r="AC15" s="182" t="s">
        <v>459</v>
      </c>
      <c r="AD15" s="183" t="s">
        <v>458</v>
      </c>
    </row>
    <row r="16" spans="1:30" x14ac:dyDescent="0.2">
      <c r="A16" s="222" t="s">
        <v>2271</v>
      </c>
      <c r="B16" s="223" t="s">
        <v>2272</v>
      </c>
      <c r="C16" s="223" t="s">
        <v>291</v>
      </c>
      <c r="D16" s="227"/>
      <c r="E16" s="223" t="s">
        <v>2017</v>
      </c>
      <c r="F16" s="224" t="s">
        <v>93</v>
      </c>
      <c r="H16" s="242" t="s">
        <v>553</v>
      </c>
      <c r="I16" s="201" t="s">
        <v>552</v>
      </c>
      <c r="J16" s="201" t="s">
        <v>551</v>
      </c>
      <c r="K16" s="201" t="s">
        <v>550</v>
      </c>
      <c r="L16" s="201" t="s">
        <v>549</v>
      </c>
      <c r="M16" s="154" t="s">
        <v>2021</v>
      </c>
      <c r="N16" s="43" t="s">
        <v>908</v>
      </c>
      <c r="P16" s="211" t="s">
        <v>1768</v>
      </c>
      <c r="Q16" s="1" t="s">
        <v>93</v>
      </c>
      <c r="R16" s="315" t="s">
        <v>575</v>
      </c>
      <c r="S16" s="318"/>
      <c r="U16" s="242" t="s">
        <v>348</v>
      </c>
      <c r="V16" s="201" t="s">
        <v>1823</v>
      </c>
      <c r="W16" s="254" t="s">
        <v>320</v>
      </c>
      <c r="X16" s="15"/>
      <c r="Y16" s="8" t="s">
        <v>2378</v>
      </c>
      <c r="Z16" s="9" t="s">
        <v>2379</v>
      </c>
      <c r="AB16" s="181">
        <v>7</v>
      </c>
      <c r="AC16" s="182" t="s">
        <v>1979</v>
      </c>
      <c r="AD16" s="183" t="s">
        <v>2266</v>
      </c>
    </row>
    <row r="17" spans="1:30" x14ac:dyDescent="0.2">
      <c r="A17" s="222" t="s">
        <v>2273</v>
      </c>
      <c r="B17" s="223" t="s">
        <v>2274</v>
      </c>
      <c r="C17" s="223" t="s">
        <v>291</v>
      </c>
      <c r="D17" s="217"/>
      <c r="E17" s="223" t="s">
        <v>771</v>
      </c>
      <c r="F17" s="224" t="s">
        <v>772</v>
      </c>
      <c r="H17" s="242" t="s">
        <v>546</v>
      </c>
      <c r="I17" s="201" t="s">
        <v>545</v>
      </c>
      <c r="J17" s="201" t="s">
        <v>544</v>
      </c>
      <c r="K17" s="201" t="s">
        <v>543</v>
      </c>
      <c r="L17" s="201" t="s">
        <v>542</v>
      </c>
      <c r="M17" s="154" t="s">
        <v>2021</v>
      </c>
      <c r="N17" s="43" t="s">
        <v>908</v>
      </c>
      <c r="P17" s="211" t="s">
        <v>576</v>
      </c>
      <c r="Q17" s="1" t="s">
        <v>93</v>
      </c>
      <c r="R17" s="315"/>
      <c r="S17" s="318"/>
      <c r="U17" s="242" t="s">
        <v>357</v>
      </c>
      <c r="V17" s="201" t="s">
        <v>1824</v>
      </c>
      <c r="W17" s="254" t="s">
        <v>320</v>
      </c>
      <c r="X17" s="15"/>
      <c r="Y17" s="8" t="s">
        <v>387</v>
      </c>
      <c r="Z17" s="9" t="s">
        <v>2376</v>
      </c>
      <c r="AB17" s="184">
        <v>9</v>
      </c>
      <c r="AC17" s="185" t="s">
        <v>448</v>
      </c>
      <c r="AD17" s="186" t="s">
        <v>2267</v>
      </c>
    </row>
    <row r="18" spans="1:30" x14ac:dyDescent="0.2">
      <c r="A18" s="222" t="s">
        <v>2275</v>
      </c>
      <c r="B18" s="223" t="s">
        <v>2276</v>
      </c>
      <c r="C18" s="223" t="s">
        <v>291</v>
      </c>
      <c r="D18" s="217"/>
      <c r="E18" s="223" t="s">
        <v>773</v>
      </c>
      <c r="F18" s="224" t="s">
        <v>774</v>
      </c>
      <c r="H18" s="242" t="s">
        <v>539</v>
      </c>
      <c r="I18" s="201" t="s">
        <v>538</v>
      </c>
      <c r="J18" s="201" t="s">
        <v>537</v>
      </c>
      <c r="K18" s="201" t="s">
        <v>536</v>
      </c>
      <c r="L18" s="201" t="s">
        <v>535</v>
      </c>
      <c r="M18" s="154" t="s">
        <v>2021</v>
      </c>
      <c r="N18" s="43" t="s">
        <v>908</v>
      </c>
      <c r="P18" s="211" t="s">
        <v>1769</v>
      </c>
      <c r="Q18" s="1" t="s">
        <v>93</v>
      </c>
      <c r="R18" s="315"/>
      <c r="S18" s="318"/>
      <c r="U18" s="242" t="s">
        <v>353</v>
      </c>
      <c r="V18" s="201" t="s">
        <v>1825</v>
      </c>
      <c r="W18" s="254" t="s">
        <v>320</v>
      </c>
      <c r="X18" s="15"/>
      <c r="Y18" s="8" t="s">
        <v>383</v>
      </c>
      <c r="Z18" s="9" t="s">
        <v>382</v>
      </c>
    </row>
    <row r="19" spans="1:30" x14ac:dyDescent="0.2">
      <c r="A19" s="222" t="s">
        <v>2277</v>
      </c>
      <c r="B19" s="223" t="s">
        <v>2278</v>
      </c>
      <c r="C19" s="223" t="s">
        <v>291</v>
      </c>
      <c r="D19" s="217" t="s">
        <v>1843</v>
      </c>
      <c r="E19" s="223" t="s">
        <v>775</v>
      </c>
      <c r="F19" s="224" t="s">
        <v>776</v>
      </c>
      <c r="H19" s="242" t="s">
        <v>532</v>
      </c>
      <c r="I19" s="201" t="s">
        <v>531</v>
      </c>
      <c r="J19" s="201" t="s">
        <v>530</v>
      </c>
      <c r="K19" s="201" t="s">
        <v>529</v>
      </c>
      <c r="L19" s="201" t="s">
        <v>528</v>
      </c>
      <c r="M19" s="154" t="s">
        <v>2021</v>
      </c>
      <c r="N19" s="43" t="s">
        <v>908</v>
      </c>
      <c r="P19" s="211" t="s">
        <v>565</v>
      </c>
      <c r="Q19" s="1" t="s">
        <v>93</v>
      </c>
      <c r="R19" s="315"/>
      <c r="S19" s="318"/>
      <c r="U19" s="242" t="s">
        <v>340</v>
      </c>
      <c r="V19" s="201" t="s">
        <v>1826</v>
      </c>
      <c r="W19" s="254" t="s">
        <v>320</v>
      </c>
      <c r="X19" s="15"/>
      <c r="Y19" s="8" t="s">
        <v>372</v>
      </c>
      <c r="Z19" s="9" t="s">
        <v>2373</v>
      </c>
    </row>
    <row r="20" spans="1:30" x14ac:dyDescent="0.2">
      <c r="A20" s="222" t="s">
        <v>2279</v>
      </c>
      <c r="B20" s="223" t="s">
        <v>2280</v>
      </c>
      <c r="C20" s="223" t="s">
        <v>291</v>
      </c>
      <c r="D20" s="217" t="s">
        <v>1843</v>
      </c>
      <c r="E20" s="223" t="s">
        <v>777</v>
      </c>
      <c r="F20" s="224" t="s">
        <v>778</v>
      </c>
      <c r="H20" s="242" t="s">
        <v>525</v>
      </c>
      <c r="I20" s="201" t="s">
        <v>524</v>
      </c>
      <c r="J20" s="201" t="s">
        <v>523</v>
      </c>
      <c r="K20" s="201" t="s">
        <v>522</v>
      </c>
      <c r="L20" s="201" t="s">
        <v>521</v>
      </c>
      <c r="M20" s="154" t="s">
        <v>2021</v>
      </c>
      <c r="N20" s="43" t="s">
        <v>908</v>
      </c>
      <c r="P20" s="211" t="s">
        <v>1770</v>
      </c>
      <c r="Q20" s="1" t="s">
        <v>93</v>
      </c>
      <c r="R20" s="315"/>
      <c r="S20" s="318"/>
      <c r="U20" s="242" t="s">
        <v>321</v>
      </c>
      <c r="V20" s="201" t="s">
        <v>1827</v>
      </c>
      <c r="W20" s="254" t="s">
        <v>320</v>
      </c>
      <c r="X20" s="15"/>
      <c r="Y20" s="8" t="s">
        <v>2046</v>
      </c>
      <c r="Z20" s="9" t="s">
        <v>2380</v>
      </c>
    </row>
    <row r="21" spans="1:30" x14ac:dyDescent="0.2">
      <c r="A21" s="222" t="s">
        <v>2281</v>
      </c>
      <c r="B21" s="223" t="s">
        <v>2282</v>
      </c>
      <c r="C21" s="223" t="s">
        <v>291</v>
      </c>
      <c r="D21" s="227"/>
      <c r="E21" s="223" t="s">
        <v>1517</v>
      </c>
      <c r="F21" s="224" t="s">
        <v>2228</v>
      </c>
      <c r="H21" s="242" t="s">
        <v>506</v>
      </c>
      <c r="I21" s="201" t="s">
        <v>505</v>
      </c>
      <c r="J21" s="201" t="s">
        <v>504</v>
      </c>
      <c r="K21" s="201" t="s">
        <v>503</v>
      </c>
      <c r="L21" s="201" t="s">
        <v>502</v>
      </c>
      <c r="M21" s="154" t="s">
        <v>2021</v>
      </c>
      <c r="N21" s="43" t="s">
        <v>908</v>
      </c>
      <c r="P21" s="211" t="s">
        <v>554</v>
      </c>
      <c r="Q21" s="1" t="s">
        <v>93</v>
      </c>
      <c r="R21" s="315"/>
      <c r="S21" s="318"/>
      <c r="U21" s="242" t="s">
        <v>337</v>
      </c>
      <c r="V21" s="201" t="s">
        <v>1828</v>
      </c>
      <c r="W21" s="254" t="s">
        <v>320</v>
      </c>
      <c r="Y21" s="20" t="s">
        <v>196</v>
      </c>
      <c r="Z21" s="19" t="s">
        <v>1847</v>
      </c>
    </row>
    <row r="22" spans="1:30" x14ac:dyDescent="0.2">
      <c r="A22" s="222" t="s">
        <v>2283</v>
      </c>
      <c r="B22" s="223" t="s">
        <v>2284</v>
      </c>
      <c r="C22" s="223" t="s">
        <v>291</v>
      </c>
      <c r="D22" s="217"/>
      <c r="E22" s="223" t="s">
        <v>779</v>
      </c>
      <c r="F22" s="224" t="s">
        <v>780</v>
      </c>
      <c r="H22" s="242" t="s">
        <v>501</v>
      </c>
      <c r="I22" s="201" t="s">
        <v>500</v>
      </c>
      <c r="J22" s="201" t="s">
        <v>499</v>
      </c>
      <c r="K22" s="201" t="s">
        <v>498</v>
      </c>
      <c r="L22" s="201" t="s">
        <v>497</v>
      </c>
      <c r="M22" s="154" t="s">
        <v>2021</v>
      </c>
      <c r="N22" s="43" t="s">
        <v>908</v>
      </c>
      <c r="P22" s="211" t="s">
        <v>548</v>
      </c>
      <c r="Q22" s="1" t="s">
        <v>93</v>
      </c>
      <c r="R22" s="315"/>
      <c r="S22" s="318"/>
      <c r="U22" s="242" t="s">
        <v>330</v>
      </c>
      <c r="V22" s="201" t="s">
        <v>1829</v>
      </c>
      <c r="W22" s="254" t="s">
        <v>320</v>
      </c>
      <c r="Y22" s="6"/>
      <c r="Z22" s="6"/>
    </row>
    <row r="23" spans="1:30" x14ac:dyDescent="0.2">
      <c r="A23" s="222" t="s">
        <v>2285</v>
      </c>
      <c r="B23" s="223" t="s">
        <v>2286</v>
      </c>
      <c r="C23" s="223" t="s">
        <v>291</v>
      </c>
      <c r="D23" s="217" t="s">
        <v>2396</v>
      </c>
      <c r="E23" s="223" t="s">
        <v>753</v>
      </c>
      <c r="F23" s="224" t="s">
        <v>781</v>
      </c>
      <c r="H23" s="242" t="s">
        <v>494</v>
      </c>
      <c r="I23" s="201" t="s">
        <v>493</v>
      </c>
      <c r="J23" s="201" t="s">
        <v>492</v>
      </c>
      <c r="K23" s="201" t="s">
        <v>491</v>
      </c>
      <c r="L23" s="201" t="s">
        <v>490</v>
      </c>
      <c r="M23" s="154" t="s">
        <v>2021</v>
      </c>
      <c r="N23" s="43" t="s">
        <v>908</v>
      </c>
      <c r="P23" s="211" t="s">
        <v>541</v>
      </c>
      <c r="Q23" s="1" t="s">
        <v>93</v>
      </c>
      <c r="R23" s="315"/>
      <c r="S23" s="318"/>
      <c r="U23" s="242" t="s">
        <v>316</v>
      </c>
      <c r="V23" s="201" t="s">
        <v>315</v>
      </c>
      <c r="W23" s="254" t="s">
        <v>310</v>
      </c>
      <c r="Y23" s="320" t="s">
        <v>1133</v>
      </c>
      <c r="Z23" s="320"/>
    </row>
    <row r="24" spans="1:30" x14ac:dyDescent="0.2">
      <c r="A24" s="222" t="s">
        <v>2287</v>
      </c>
      <c r="B24" s="223" t="s">
        <v>2288</v>
      </c>
      <c r="C24" s="223" t="s">
        <v>291</v>
      </c>
      <c r="D24" s="217"/>
      <c r="E24" s="223" t="s">
        <v>782</v>
      </c>
      <c r="F24" s="224" t="s">
        <v>783</v>
      </c>
      <c r="H24" s="242" t="s">
        <v>489</v>
      </c>
      <c r="I24" s="201" t="s">
        <v>488</v>
      </c>
      <c r="J24" s="201" t="s">
        <v>487</v>
      </c>
      <c r="K24" s="201" t="s">
        <v>486</v>
      </c>
      <c r="L24" s="201" t="s">
        <v>485</v>
      </c>
      <c r="M24" s="154" t="s">
        <v>2021</v>
      </c>
      <c r="N24" s="43" t="s">
        <v>908</v>
      </c>
      <c r="P24" s="211" t="s">
        <v>1771</v>
      </c>
      <c r="Q24" s="1" t="s">
        <v>93</v>
      </c>
      <c r="R24" s="315"/>
      <c r="S24" s="318"/>
      <c r="U24" s="242" t="s">
        <v>311</v>
      </c>
      <c r="V24" s="201" t="s">
        <v>2043</v>
      </c>
      <c r="W24" s="254" t="s">
        <v>310</v>
      </c>
      <c r="Y24" s="59" t="s">
        <v>2254</v>
      </c>
      <c r="Z24" s="60" t="s">
        <v>356</v>
      </c>
    </row>
    <row r="25" spans="1:30" x14ac:dyDescent="0.2">
      <c r="A25" s="222" t="s">
        <v>2289</v>
      </c>
      <c r="B25" s="223" t="s">
        <v>2290</v>
      </c>
      <c r="C25" s="223" t="s">
        <v>291</v>
      </c>
      <c r="D25" s="227"/>
      <c r="E25" s="223" t="s">
        <v>2229</v>
      </c>
      <c r="F25" s="224" t="s">
        <v>2230</v>
      </c>
      <c r="H25" s="242" t="s">
        <v>2417</v>
      </c>
      <c r="I25" s="201" t="s">
        <v>2418</v>
      </c>
      <c r="J25" s="201" t="s">
        <v>2419</v>
      </c>
      <c r="K25" s="201" t="s">
        <v>2420</v>
      </c>
      <c r="L25" s="201" t="s">
        <v>2421</v>
      </c>
      <c r="M25" s="150" t="s">
        <v>2021</v>
      </c>
      <c r="N25" s="45" t="s">
        <v>908</v>
      </c>
      <c r="P25" s="211" t="s">
        <v>1772</v>
      </c>
      <c r="Q25" s="1" t="s">
        <v>93</v>
      </c>
      <c r="R25" s="315"/>
      <c r="S25" s="318"/>
      <c r="U25" s="242" t="s">
        <v>312</v>
      </c>
      <c r="V25" s="201" t="s">
        <v>1830</v>
      </c>
      <c r="W25" s="254" t="s">
        <v>310</v>
      </c>
      <c r="Y25" s="187" t="s">
        <v>1994</v>
      </c>
      <c r="Z25" s="188" t="s">
        <v>1995</v>
      </c>
      <c r="AA25" s="3" t="s">
        <v>2221</v>
      </c>
    </row>
    <row r="26" spans="1:30" x14ac:dyDescent="0.2">
      <c r="A26" s="222" t="s">
        <v>2291</v>
      </c>
      <c r="B26" s="223" t="s">
        <v>2292</v>
      </c>
      <c r="C26" s="223" t="s">
        <v>291</v>
      </c>
      <c r="D26" s="217" t="s">
        <v>2397</v>
      </c>
      <c r="E26" s="223" t="s">
        <v>749</v>
      </c>
      <c r="F26" s="224" t="s">
        <v>784</v>
      </c>
      <c r="H26" s="242" t="s">
        <v>622</v>
      </c>
      <c r="I26" s="201" t="s">
        <v>621</v>
      </c>
      <c r="J26" s="201" t="s">
        <v>620</v>
      </c>
      <c r="K26" s="201" t="s">
        <v>619</v>
      </c>
      <c r="L26" s="202" t="s">
        <v>618</v>
      </c>
      <c r="M26" s="154" t="s">
        <v>2022</v>
      </c>
      <c r="N26" s="43" t="s">
        <v>908</v>
      </c>
      <c r="P26" s="211" t="s">
        <v>1773</v>
      </c>
      <c r="Q26" s="1" t="s">
        <v>93</v>
      </c>
      <c r="R26" s="315"/>
      <c r="S26" s="318"/>
      <c r="U26" s="242" t="s">
        <v>297</v>
      </c>
      <c r="V26" s="201" t="s">
        <v>307</v>
      </c>
      <c r="W26" s="254" t="s">
        <v>297</v>
      </c>
      <c r="Y26" s="16" t="s">
        <v>352</v>
      </c>
      <c r="Z26" s="17" t="s">
        <v>351</v>
      </c>
      <c r="AA26" s="3" t="s">
        <v>2222</v>
      </c>
    </row>
    <row r="27" spans="1:30" x14ac:dyDescent="0.2">
      <c r="A27" s="222" t="s">
        <v>2293</v>
      </c>
      <c r="B27" s="223" t="s">
        <v>2294</v>
      </c>
      <c r="C27" s="223" t="s">
        <v>291</v>
      </c>
      <c r="D27" s="217"/>
      <c r="E27" s="223" t="s">
        <v>785</v>
      </c>
      <c r="F27" s="224" t="s">
        <v>786</v>
      </c>
      <c r="H27" s="242" t="s">
        <v>1143</v>
      </c>
      <c r="I27" s="202" t="s">
        <v>2422</v>
      </c>
      <c r="J27" s="201" t="s">
        <v>1144</v>
      </c>
      <c r="K27" s="201" t="s">
        <v>1145</v>
      </c>
      <c r="L27" s="201" t="s">
        <v>1146</v>
      </c>
      <c r="M27" s="154" t="s">
        <v>2022</v>
      </c>
      <c r="N27" s="43" t="s">
        <v>908</v>
      </c>
      <c r="P27" s="211" t="s">
        <v>1774</v>
      </c>
      <c r="Q27" s="1" t="s">
        <v>93</v>
      </c>
      <c r="R27" s="315" t="s">
        <v>518</v>
      </c>
      <c r="S27" s="318" t="s">
        <v>517</v>
      </c>
      <c r="U27" s="242" t="s">
        <v>298</v>
      </c>
      <c r="V27" s="201" t="s">
        <v>1831</v>
      </c>
      <c r="W27" s="254" t="s">
        <v>297</v>
      </c>
      <c r="Y27" s="16" t="s">
        <v>347</v>
      </c>
      <c r="Z27" s="17" t="s">
        <v>1996</v>
      </c>
      <c r="AA27" s="3" t="s">
        <v>2222</v>
      </c>
    </row>
    <row r="28" spans="1:30" x14ac:dyDescent="0.2">
      <c r="A28" s="222" t="s">
        <v>2295</v>
      </c>
      <c r="B28" s="223" t="s">
        <v>2296</v>
      </c>
      <c r="C28" s="223" t="s">
        <v>291</v>
      </c>
      <c r="D28" s="217" t="s">
        <v>1843</v>
      </c>
      <c r="E28" s="223" t="s">
        <v>787</v>
      </c>
      <c r="F28" s="224" t="s">
        <v>788</v>
      </c>
      <c r="H28" s="242" t="s">
        <v>514</v>
      </c>
      <c r="I28" s="201" t="s">
        <v>513</v>
      </c>
      <c r="J28" s="201" t="s">
        <v>512</v>
      </c>
      <c r="K28" s="201" t="s">
        <v>511</v>
      </c>
      <c r="L28" s="201" t="s">
        <v>510</v>
      </c>
      <c r="M28" s="154" t="s">
        <v>2022</v>
      </c>
      <c r="N28" s="43" t="s">
        <v>908</v>
      </c>
      <c r="P28" s="211" t="s">
        <v>1775</v>
      </c>
      <c r="Q28" s="1" t="s">
        <v>93</v>
      </c>
      <c r="R28" s="315"/>
      <c r="S28" s="318"/>
      <c r="U28" s="242" t="s">
        <v>305</v>
      </c>
      <c r="V28" s="201" t="s">
        <v>1832</v>
      </c>
      <c r="W28" s="254" t="s">
        <v>297</v>
      </c>
      <c r="Y28" s="16" t="s">
        <v>339</v>
      </c>
      <c r="Z28" s="17" t="s">
        <v>1997</v>
      </c>
      <c r="AA28" s="3" t="s">
        <v>2222</v>
      </c>
    </row>
    <row r="29" spans="1:30" x14ac:dyDescent="0.2">
      <c r="A29" s="222" t="s">
        <v>2297</v>
      </c>
      <c r="B29" s="223" t="s">
        <v>2298</v>
      </c>
      <c r="C29" s="223" t="s">
        <v>291</v>
      </c>
      <c r="D29" s="217"/>
      <c r="E29" s="223" t="s">
        <v>789</v>
      </c>
      <c r="F29" s="224" t="s">
        <v>790</v>
      </c>
      <c r="H29" s="242" t="s">
        <v>1147</v>
      </c>
      <c r="I29" s="201" t="s">
        <v>1148</v>
      </c>
      <c r="J29" s="201" t="s">
        <v>1149</v>
      </c>
      <c r="K29" s="201" t="s">
        <v>1150</v>
      </c>
      <c r="L29" s="201" t="s">
        <v>1151</v>
      </c>
      <c r="M29" s="154" t="s">
        <v>2022</v>
      </c>
      <c r="N29" s="43" t="s">
        <v>908</v>
      </c>
      <c r="P29" s="211" t="s">
        <v>1776</v>
      </c>
      <c r="Q29" s="1" t="s">
        <v>93</v>
      </c>
      <c r="R29" s="315"/>
      <c r="S29" s="318"/>
      <c r="U29" s="242" t="s">
        <v>303</v>
      </c>
      <c r="V29" s="201" t="s">
        <v>1833</v>
      </c>
      <c r="W29" s="254" t="s">
        <v>297</v>
      </c>
      <c r="Y29" s="16" t="s">
        <v>336</v>
      </c>
      <c r="Z29" s="17" t="s">
        <v>335</v>
      </c>
      <c r="AA29" s="3" t="s">
        <v>2222</v>
      </c>
    </row>
    <row r="30" spans="1:30" x14ac:dyDescent="0.2">
      <c r="A30" s="222" t="s">
        <v>2299</v>
      </c>
      <c r="B30" s="223" t="s">
        <v>2300</v>
      </c>
      <c r="C30" s="223" t="s">
        <v>291</v>
      </c>
      <c r="D30" s="217"/>
      <c r="E30" s="223" t="s">
        <v>791</v>
      </c>
      <c r="F30" s="224" t="s">
        <v>792</v>
      </c>
      <c r="H30" s="242" t="s">
        <v>1157</v>
      </c>
      <c r="I30" s="201" t="s">
        <v>1158</v>
      </c>
      <c r="J30" s="201" t="s">
        <v>1159</v>
      </c>
      <c r="K30" s="201" t="s">
        <v>1160</v>
      </c>
      <c r="L30" s="201" t="s">
        <v>1161</v>
      </c>
      <c r="M30" s="154" t="s">
        <v>2022</v>
      </c>
      <c r="N30" s="43" t="s">
        <v>908</v>
      </c>
      <c r="P30" s="211" t="s">
        <v>1777</v>
      </c>
      <c r="Q30" s="1" t="s">
        <v>93</v>
      </c>
      <c r="R30" s="315"/>
      <c r="S30" s="318"/>
      <c r="U30" s="242" t="s">
        <v>293</v>
      </c>
      <c r="V30" s="201" t="s">
        <v>292</v>
      </c>
      <c r="W30" s="254" t="s">
        <v>284</v>
      </c>
      <c r="Y30" s="16" t="s">
        <v>329</v>
      </c>
      <c r="Z30" s="17" t="s">
        <v>1998</v>
      </c>
      <c r="AA30" s="3" t="s">
        <v>2222</v>
      </c>
    </row>
    <row r="31" spans="1:30" x14ac:dyDescent="0.2">
      <c r="A31" s="222" t="s">
        <v>2301</v>
      </c>
      <c r="B31" s="223" t="s">
        <v>2302</v>
      </c>
      <c r="C31" s="223" t="s">
        <v>291</v>
      </c>
      <c r="D31" s="217" t="s">
        <v>547</v>
      </c>
      <c r="E31" s="223" t="s">
        <v>793</v>
      </c>
      <c r="F31" s="224" t="s">
        <v>794</v>
      </c>
      <c r="H31" s="242" t="s">
        <v>1167</v>
      </c>
      <c r="I31" s="201" t="s">
        <v>1168</v>
      </c>
      <c r="J31" s="201" t="s">
        <v>1169</v>
      </c>
      <c r="K31" s="201" t="s">
        <v>1170</v>
      </c>
      <c r="L31" s="201" t="s">
        <v>1171</v>
      </c>
      <c r="M31" s="154" t="s">
        <v>2022</v>
      </c>
      <c r="N31" s="43" t="s">
        <v>908</v>
      </c>
      <c r="P31" s="211" t="s">
        <v>1778</v>
      </c>
      <c r="Q31" s="1" t="s">
        <v>93</v>
      </c>
      <c r="R31" s="315"/>
      <c r="S31" s="318"/>
      <c r="U31" s="242" t="s">
        <v>1762</v>
      </c>
      <c r="V31" s="201" t="s">
        <v>1834</v>
      </c>
      <c r="W31" s="254" t="s">
        <v>284</v>
      </c>
      <c r="Y31" s="18" t="s">
        <v>319</v>
      </c>
      <c r="Z31" s="19" t="s">
        <v>1846</v>
      </c>
    </row>
    <row r="32" spans="1:30" x14ac:dyDescent="0.2">
      <c r="A32" s="222" t="s">
        <v>2303</v>
      </c>
      <c r="B32" s="223" t="s">
        <v>2304</v>
      </c>
      <c r="C32" s="223" t="s">
        <v>291</v>
      </c>
      <c r="D32" s="217"/>
      <c r="E32" s="223" t="s">
        <v>795</v>
      </c>
      <c r="F32" s="224" t="s">
        <v>796</v>
      </c>
      <c r="H32" s="242" t="s">
        <v>613</v>
      </c>
      <c r="I32" s="201" t="s">
        <v>612</v>
      </c>
      <c r="J32" s="201" t="s">
        <v>611</v>
      </c>
      <c r="K32" s="201" t="s">
        <v>610</v>
      </c>
      <c r="L32" s="201" t="s">
        <v>609</v>
      </c>
      <c r="M32" s="154" t="s">
        <v>2022</v>
      </c>
      <c r="N32" s="43" t="s">
        <v>908</v>
      </c>
      <c r="P32" s="211" t="s">
        <v>1779</v>
      </c>
      <c r="Q32" s="1" t="s">
        <v>93</v>
      </c>
      <c r="R32" s="315"/>
      <c r="S32" s="318"/>
      <c r="U32" s="242" t="s">
        <v>1763</v>
      </c>
      <c r="V32" s="201" t="s">
        <v>1835</v>
      </c>
      <c r="W32" s="254" t="s">
        <v>284</v>
      </c>
      <c r="Y32" s="15"/>
      <c r="Z32" s="15"/>
    </row>
    <row r="33" spans="1:26" x14ac:dyDescent="0.2">
      <c r="A33" s="222" t="s">
        <v>2305</v>
      </c>
      <c r="B33" s="223" t="s">
        <v>2306</v>
      </c>
      <c r="C33" s="223" t="s">
        <v>291</v>
      </c>
      <c r="D33" s="217"/>
      <c r="E33" s="223" t="s">
        <v>797</v>
      </c>
      <c r="F33" s="224" t="s">
        <v>798</v>
      </c>
      <c r="H33" s="242" t="s">
        <v>1172</v>
      </c>
      <c r="I33" s="201" t="s">
        <v>1173</v>
      </c>
      <c r="J33" s="201" t="s">
        <v>1174</v>
      </c>
      <c r="K33" s="201" t="s">
        <v>1175</v>
      </c>
      <c r="L33" s="201" t="s">
        <v>1176</v>
      </c>
      <c r="M33" s="154" t="s">
        <v>2022</v>
      </c>
      <c r="N33" s="43" t="s">
        <v>908</v>
      </c>
      <c r="P33" s="211" t="s">
        <v>1780</v>
      </c>
      <c r="Q33" s="1" t="s">
        <v>93</v>
      </c>
      <c r="R33" s="315"/>
      <c r="S33" s="318"/>
      <c r="U33" s="242" t="s">
        <v>1764</v>
      </c>
      <c r="V33" s="201" t="s">
        <v>1836</v>
      </c>
      <c r="W33" s="254" t="s">
        <v>284</v>
      </c>
    </row>
    <row r="34" spans="1:26" x14ac:dyDescent="0.2">
      <c r="A34" s="222" t="s">
        <v>2307</v>
      </c>
      <c r="B34" s="223" t="s">
        <v>2308</v>
      </c>
      <c r="C34" s="223" t="s">
        <v>291</v>
      </c>
      <c r="D34" s="227"/>
      <c r="E34" s="223" t="s">
        <v>2231</v>
      </c>
      <c r="F34" s="224" t="s">
        <v>2232</v>
      </c>
      <c r="H34" s="242" t="s">
        <v>1177</v>
      </c>
      <c r="I34" s="201" t="s">
        <v>1178</v>
      </c>
      <c r="J34" s="201" t="s">
        <v>1179</v>
      </c>
      <c r="K34" s="201" t="s">
        <v>1180</v>
      </c>
      <c r="L34" s="201" t="s">
        <v>1181</v>
      </c>
      <c r="M34" s="154" t="s">
        <v>2022</v>
      </c>
      <c r="N34" s="43" t="s">
        <v>908</v>
      </c>
      <c r="P34" s="211" t="s">
        <v>1781</v>
      </c>
      <c r="Q34" s="1" t="s">
        <v>93</v>
      </c>
      <c r="R34" s="315"/>
      <c r="S34" s="318"/>
      <c r="U34" s="242" t="s">
        <v>276</v>
      </c>
      <c r="V34" s="201" t="s">
        <v>2365</v>
      </c>
      <c r="W34" s="254" t="s">
        <v>275</v>
      </c>
      <c r="Y34" s="320" t="s">
        <v>1134</v>
      </c>
      <c r="Z34" s="320"/>
    </row>
    <row r="35" spans="1:26" ht="13.6" x14ac:dyDescent="0.25">
      <c r="A35" s="222" t="s">
        <v>2309</v>
      </c>
      <c r="B35" s="223" t="s">
        <v>2310</v>
      </c>
      <c r="C35" s="223" t="s">
        <v>291</v>
      </c>
      <c r="D35" s="217" t="s">
        <v>1843</v>
      </c>
      <c r="E35" s="223" t="s">
        <v>799</v>
      </c>
      <c r="F35" s="224" t="s">
        <v>800</v>
      </c>
      <c r="H35" s="242" t="s">
        <v>602</v>
      </c>
      <c r="I35" s="201" t="s">
        <v>601</v>
      </c>
      <c r="J35" s="201" t="s">
        <v>600</v>
      </c>
      <c r="K35" s="201" t="s">
        <v>599</v>
      </c>
      <c r="L35" s="201" t="s">
        <v>598</v>
      </c>
      <c r="M35" s="154" t="s">
        <v>2022</v>
      </c>
      <c r="N35" s="43" t="s">
        <v>908</v>
      </c>
      <c r="P35" s="211" t="s">
        <v>1782</v>
      </c>
      <c r="Q35" s="1" t="s">
        <v>93</v>
      </c>
      <c r="R35" s="315"/>
      <c r="S35" s="318"/>
      <c r="U35" s="246" t="s">
        <v>2621</v>
      </c>
      <c r="V35" s="256" t="s">
        <v>2622</v>
      </c>
      <c r="W35" s="257" t="s">
        <v>838</v>
      </c>
      <c r="Y35" s="59" t="s">
        <v>2255</v>
      </c>
      <c r="Z35" s="60" t="s">
        <v>306</v>
      </c>
    </row>
    <row r="36" spans="1:26" x14ac:dyDescent="0.2">
      <c r="A36" s="222" t="s">
        <v>2311</v>
      </c>
      <c r="B36" s="223" t="s">
        <v>2312</v>
      </c>
      <c r="C36" s="223" t="s">
        <v>291</v>
      </c>
      <c r="D36" s="217"/>
      <c r="E36" s="223" t="s">
        <v>801</v>
      </c>
      <c r="F36" s="224" t="s">
        <v>802</v>
      </c>
      <c r="H36" s="242" t="s">
        <v>580</v>
      </c>
      <c r="I36" s="202" t="s">
        <v>2423</v>
      </c>
      <c r="J36" s="201" t="s">
        <v>579</v>
      </c>
      <c r="K36" s="201" t="s">
        <v>578</v>
      </c>
      <c r="L36" s="201" t="s">
        <v>577</v>
      </c>
      <c r="M36" s="154" t="s">
        <v>2022</v>
      </c>
      <c r="N36" s="43" t="s">
        <v>908</v>
      </c>
      <c r="P36" s="211" t="s">
        <v>1783</v>
      </c>
      <c r="Q36" s="1" t="s">
        <v>93</v>
      </c>
      <c r="R36" s="315"/>
      <c r="S36" s="318"/>
      <c r="U36" s="242" t="s">
        <v>267</v>
      </c>
      <c r="V36" s="201" t="s">
        <v>1837</v>
      </c>
      <c r="W36" s="254" t="s">
        <v>250</v>
      </c>
      <c r="Y36" s="8" t="s">
        <v>206</v>
      </c>
      <c r="Z36" s="9" t="s">
        <v>304</v>
      </c>
    </row>
    <row r="37" spans="1:26" x14ac:dyDescent="0.2">
      <c r="A37" s="222" t="s">
        <v>2313</v>
      </c>
      <c r="B37" s="223" t="s">
        <v>2314</v>
      </c>
      <c r="C37" s="223" t="s">
        <v>291</v>
      </c>
      <c r="D37" s="217"/>
      <c r="E37" s="223" t="s">
        <v>803</v>
      </c>
      <c r="F37" s="224" t="s">
        <v>804</v>
      </c>
      <c r="H37" s="242" t="s">
        <v>594</v>
      </c>
      <c r="I37" s="201" t="s">
        <v>593</v>
      </c>
      <c r="J37" s="201" t="s">
        <v>592</v>
      </c>
      <c r="K37" s="201" t="s">
        <v>591</v>
      </c>
      <c r="L37" s="201" t="s">
        <v>590</v>
      </c>
      <c r="M37" s="154" t="s">
        <v>2022</v>
      </c>
      <c r="N37" s="43" t="s">
        <v>908</v>
      </c>
      <c r="P37" s="211" t="s">
        <v>1784</v>
      </c>
      <c r="Q37" s="213" t="s">
        <v>91</v>
      </c>
      <c r="R37" s="315"/>
      <c r="S37" s="318"/>
      <c r="U37" s="242" t="s">
        <v>262</v>
      </c>
      <c r="V37" s="201" t="s">
        <v>1838</v>
      </c>
      <c r="W37" s="254" t="s">
        <v>250</v>
      </c>
      <c r="Y37" s="8" t="s">
        <v>302</v>
      </c>
      <c r="Z37" s="9" t="s">
        <v>301</v>
      </c>
    </row>
    <row r="38" spans="1:26" x14ac:dyDescent="0.2">
      <c r="A38" s="222" t="s">
        <v>2315</v>
      </c>
      <c r="B38" s="223" t="s">
        <v>2316</v>
      </c>
      <c r="C38" s="223" t="s">
        <v>291</v>
      </c>
      <c r="D38" s="217" t="s">
        <v>1844</v>
      </c>
      <c r="E38" s="223" t="s">
        <v>805</v>
      </c>
      <c r="F38" s="224" t="s">
        <v>806</v>
      </c>
      <c r="H38" s="242" t="s">
        <v>587</v>
      </c>
      <c r="I38" s="201" t="s">
        <v>586</v>
      </c>
      <c r="J38" s="201" t="s">
        <v>585</v>
      </c>
      <c r="K38" s="201" t="s">
        <v>584</v>
      </c>
      <c r="L38" s="201" t="s">
        <v>583</v>
      </c>
      <c r="M38" s="154" t="s">
        <v>2022</v>
      </c>
      <c r="N38" s="43" t="s">
        <v>908</v>
      </c>
      <c r="P38" s="211" t="s">
        <v>1785</v>
      </c>
      <c r="Q38" s="1" t="s">
        <v>93</v>
      </c>
      <c r="R38" s="315"/>
      <c r="S38" s="318"/>
      <c r="U38" s="242" t="s">
        <v>251</v>
      </c>
      <c r="V38" s="201" t="s">
        <v>1839</v>
      </c>
      <c r="W38" s="254" t="s">
        <v>250</v>
      </c>
      <c r="Y38" s="13" t="s">
        <v>291</v>
      </c>
      <c r="Z38" s="22" t="s">
        <v>296</v>
      </c>
    </row>
    <row r="39" spans="1:26" x14ac:dyDescent="0.2">
      <c r="A39" s="222" t="s">
        <v>2317</v>
      </c>
      <c r="B39" s="223" t="s">
        <v>2318</v>
      </c>
      <c r="C39" s="223" t="s">
        <v>291</v>
      </c>
      <c r="D39" s="227"/>
      <c r="E39" s="223" t="s">
        <v>130</v>
      </c>
      <c r="F39" s="224" t="s">
        <v>890</v>
      </c>
      <c r="H39" s="242" t="s">
        <v>606</v>
      </c>
      <c r="I39" s="201" t="s">
        <v>605</v>
      </c>
      <c r="J39" s="201" t="s">
        <v>2424</v>
      </c>
      <c r="K39" s="201" t="s">
        <v>2425</v>
      </c>
      <c r="L39" s="201" t="s">
        <v>2426</v>
      </c>
      <c r="M39" s="154" t="s">
        <v>2022</v>
      </c>
      <c r="N39" s="155" t="s">
        <v>910</v>
      </c>
      <c r="P39" s="211" t="s">
        <v>1786</v>
      </c>
      <c r="Q39" s="1" t="s">
        <v>93</v>
      </c>
      <c r="R39" s="315"/>
      <c r="S39" s="318"/>
      <c r="U39" s="258" t="s">
        <v>2366</v>
      </c>
      <c r="V39" s="247" t="s">
        <v>2367</v>
      </c>
      <c r="W39" s="259" t="s">
        <v>250</v>
      </c>
    </row>
    <row r="40" spans="1:26" x14ac:dyDescent="0.2">
      <c r="A40" s="222" t="s">
        <v>2319</v>
      </c>
      <c r="B40" s="223" t="s">
        <v>2320</v>
      </c>
      <c r="C40" s="223" t="s">
        <v>291</v>
      </c>
      <c r="D40" s="227"/>
      <c r="E40" s="223" t="s">
        <v>2233</v>
      </c>
      <c r="F40" s="224" t="s">
        <v>2234</v>
      </c>
      <c r="H40" s="242" t="s">
        <v>327</v>
      </c>
      <c r="I40" s="201" t="s">
        <v>1182</v>
      </c>
      <c r="J40" s="201" t="s">
        <v>2427</v>
      </c>
      <c r="K40" s="201" t="s">
        <v>2428</v>
      </c>
      <c r="L40" s="201" t="s">
        <v>2429</v>
      </c>
      <c r="M40" s="154" t="s">
        <v>2022</v>
      </c>
      <c r="N40" s="155" t="s">
        <v>1183</v>
      </c>
      <c r="P40" s="211" t="s">
        <v>1787</v>
      </c>
      <c r="Q40" s="1" t="s">
        <v>93</v>
      </c>
      <c r="R40" s="315" t="s">
        <v>375</v>
      </c>
      <c r="S40" s="318" t="s">
        <v>374</v>
      </c>
      <c r="U40" s="242" t="s">
        <v>233</v>
      </c>
      <c r="V40" s="201" t="s">
        <v>243</v>
      </c>
      <c r="W40" s="254" t="s">
        <v>233</v>
      </c>
    </row>
    <row r="41" spans="1:26" x14ac:dyDescent="0.2">
      <c r="A41" s="222" t="s">
        <v>2321</v>
      </c>
      <c r="B41" s="223" t="s">
        <v>2322</v>
      </c>
      <c r="C41" s="223" t="s">
        <v>291</v>
      </c>
      <c r="D41" s="217"/>
      <c r="E41" s="223" t="s">
        <v>807</v>
      </c>
      <c r="F41" s="224" t="s">
        <v>808</v>
      </c>
      <c r="H41" s="242" t="s">
        <v>616</v>
      </c>
      <c r="I41" s="201" t="s">
        <v>615</v>
      </c>
      <c r="J41" s="201" t="s">
        <v>2430</v>
      </c>
      <c r="K41" s="201" t="s">
        <v>2431</v>
      </c>
      <c r="L41" s="201" t="s">
        <v>2432</v>
      </c>
      <c r="M41" s="150" t="s">
        <v>2022</v>
      </c>
      <c r="N41" s="156" t="s">
        <v>909</v>
      </c>
      <c r="P41" s="211" t="s">
        <v>1788</v>
      </c>
      <c r="Q41" s="1" t="s">
        <v>93</v>
      </c>
      <c r="R41" s="315"/>
      <c r="S41" s="318"/>
      <c r="U41" s="242" t="s">
        <v>238</v>
      </c>
      <c r="V41" s="201" t="s">
        <v>237</v>
      </c>
      <c r="W41" s="254" t="s">
        <v>233</v>
      </c>
      <c r="Y41" s="320" t="s">
        <v>1135</v>
      </c>
      <c r="Z41" s="320"/>
    </row>
    <row r="42" spans="1:26" x14ac:dyDescent="0.2">
      <c r="A42" s="222" t="s">
        <v>2323</v>
      </c>
      <c r="B42" s="223" t="s">
        <v>2324</v>
      </c>
      <c r="C42" s="223" t="s">
        <v>291</v>
      </c>
      <c r="D42" s="217"/>
      <c r="E42" s="223" t="s">
        <v>809</v>
      </c>
      <c r="F42" s="224" t="s">
        <v>684</v>
      </c>
      <c r="H42" s="242" t="s">
        <v>475</v>
      </c>
      <c r="I42" s="201" t="s">
        <v>474</v>
      </c>
      <c r="J42" s="201" t="s">
        <v>473</v>
      </c>
      <c r="K42" s="201" t="s">
        <v>472</v>
      </c>
      <c r="L42" s="201" t="s">
        <v>471</v>
      </c>
      <c r="M42" s="154" t="s">
        <v>2023</v>
      </c>
      <c r="N42" s="43" t="s">
        <v>908</v>
      </c>
      <c r="P42" s="211" t="s">
        <v>1789</v>
      </c>
      <c r="Q42" s="1" t="s">
        <v>93</v>
      </c>
      <c r="R42" s="315"/>
      <c r="S42" s="318"/>
      <c r="U42" s="242" t="s">
        <v>234</v>
      </c>
      <c r="V42" s="201" t="s">
        <v>232</v>
      </c>
      <c r="W42" s="254" t="s">
        <v>233</v>
      </c>
      <c r="Y42" s="59" t="s">
        <v>2256</v>
      </c>
      <c r="Z42" s="60" t="s">
        <v>1973</v>
      </c>
    </row>
    <row r="43" spans="1:26" x14ac:dyDescent="0.2">
      <c r="A43" s="222" t="s">
        <v>624</v>
      </c>
      <c r="B43" s="223" t="s">
        <v>623</v>
      </c>
      <c r="C43" s="223" t="s">
        <v>291</v>
      </c>
      <c r="D43" s="217"/>
      <c r="E43" s="223" t="s">
        <v>623</v>
      </c>
      <c r="F43" s="224" t="s">
        <v>770</v>
      </c>
      <c r="H43" s="242" t="s">
        <v>464</v>
      </c>
      <c r="I43" s="201" t="s">
        <v>463</v>
      </c>
      <c r="J43" s="201" t="s">
        <v>462</v>
      </c>
      <c r="K43" s="201" t="s">
        <v>461</v>
      </c>
      <c r="L43" s="201" t="s">
        <v>460</v>
      </c>
      <c r="M43" s="154" t="s">
        <v>2023</v>
      </c>
      <c r="N43" s="43" t="s">
        <v>908</v>
      </c>
      <c r="P43" s="211" t="s">
        <v>1790</v>
      </c>
      <c r="Q43" s="1" t="s">
        <v>93</v>
      </c>
      <c r="R43" s="315"/>
      <c r="S43" s="318"/>
      <c r="U43" s="242" t="s">
        <v>229</v>
      </c>
      <c r="V43" s="201" t="s">
        <v>2368</v>
      </c>
      <c r="W43" s="254" t="s">
        <v>229</v>
      </c>
      <c r="Y43" s="207" t="s">
        <v>266</v>
      </c>
      <c r="Z43" s="208" t="s">
        <v>265</v>
      </c>
    </row>
    <row r="44" spans="1:26" x14ac:dyDescent="0.2">
      <c r="A44" s="222" t="s">
        <v>264</v>
      </c>
      <c r="B44" s="223" t="s">
        <v>263</v>
      </c>
      <c r="C44" s="223" t="s">
        <v>291</v>
      </c>
      <c r="D44" s="217" t="s">
        <v>2393</v>
      </c>
      <c r="E44" s="223" t="s">
        <v>263</v>
      </c>
      <c r="F44" s="224" t="s">
        <v>853</v>
      </c>
      <c r="H44" s="242" t="s">
        <v>453</v>
      </c>
      <c r="I44" s="201" t="s">
        <v>452</v>
      </c>
      <c r="J44" s="201" t="s">
        <v>451</v>
      </c>
      <c r="K44" s="201" t="s">
        <v>450</v>
      </c>
      <c r="L44" s="201" t="s">
        <v>449</v>
      </c>
      <c r="M44" s="150" t="s">
        <v>2023</v>
      </c>
      <c r="N44" s="45" t="s">
        <v>908</v>
      </c>
      <c r="P44" s="211" t="s">
        <v>1791</v>
      </c>
      <c r="Q44" s="1" t="s">
        <v>93</v>
      </c>
      <c r="R44" s="315"/>
      <c r="S44" s="318"/>
      <c r="U44" s="242" t="s">
        <v>226</v>
      </c>
      <c r="V44" s="201" t="s">
        <v>2369</v>
      </c>
      <c r="W44" s="254" t="s">
        <v>226</v>
      </c>
      <c r="Y44" s="8" t="s">
        <v>261</v>
      </c>
      <c r="Z44" s="9" t="s">
        <v>260</v>
      </c>
    </row>
    <row r="45" spans="1:26" x14ac:dyDescent="0.2">
      <c r="A45" s="222" t="s">
        <v>2325</v>
      </c>
      <c r="B45" s="223" t="s">
        <v>2326</v>
      </c>
      <c r="C45" s="223" t="s">
        <v>291</v>
      </c>
      <c r="D45" s="227"/>
      <c r="E45" s="223" t="s">
        <v>2015</v>
      </c>
      <c r="F45" s="224" t="s">
        <v>811</v>
      </c>
      <c r="H45" s="246" t="s">
        <v>2433</v>
      </c>
      <c r="I45" s="202" t="s">
        <v>2434</v>
      </c>
      <c r="J45" s="247" t="s">
        <v>2435</v>
      </c>
      <c r="K45" s="247" t="s">
        <v>2436</v>
      </c>
      <c r="L45" s="247" t="s">
        <v>2437</v>
      </c>
      <c r="M45" s="154" t="s">
        <v>2024</v>
      </c>
      <c r="N45" s="43" t="s">
        <v>908</v>
      </c>
      <c r="P45" s="211" t="s">
        <v>1792</v>
      </c>
      <c r="Q45" s="1" t="s">
        <v>93</v>
      </c>
      <c r="R45" s="315"/>
      <c r="S45" s="318"/>
      <c r="U45" s="242" t="s">
        <v>223</v>
      </c>
      <c r="V45" s="201" t="s">
        <v>222</v>
      </c>
      <c r="W45" s="254" t="s">
        <v>219</v>
      </c>
      <c r="Y45" s="8" t="s">
        <v>2389</v>
      </c>
      <c r="Z45" s="9" t="s">
        <v>2390</v>
      </c>
    </row>
    <row r="46" spans="1:26" x14ac:dyDescent="0.2">
      <c r="A46" s="222" t="s">
        <v>2327</v>
      </c>
      <c r="B46" s="223" t="s">
        <v>2328</v>
      </c>
      <c r="C46" s="223" t="s">
        <v>291</v>
      </c>
      <c r="D46" s="217"/>
      <c r="E46" s="223" t="s">
        <v>812</v>
      </c>
      <c r="F46" s="224" t="s">
        <v>813</v>
      </c>
      <c r="H46" s="246" t="s">
        <v>2438</v>
      </c>
      <c r="I46" s="202" t="s">
        <v>2439</v>
      </c>
      <c r="J46" s="247" t="s">
        <v>2440</v>
      </c>
      <c r="K46" s="247" t="s">
        <v>2441</v>
      </c>
      <c r="L46" s="247" t="s">
        <v>2442</v>
      </c>
      <c r="M46" s="154" t="s">
        <v>2024</v>
      </c>
      <c r="N46" s="43" t="s">
        <v>908</v>
      </c>
      <c r="P46" s="211" t="s">
        <v>1793</v>
      </c>
      <c r="Q46" s="213" t="s">
        <v>91</v>
      </c>
      <c r="R46" s="315"/>
      <c r="S46" s="318"/>
      <c r="U46" s="242" t="s">
        <v>1765</v>
      </c>
      <c r="V46" s="201" t="s">
        <v>1766</v>
      </c>
      <c r="W46" s="254" t="s">
        <v>219</v>
      </c>
      <c r="Y46" s="8" t="s">
        <v>242</v>
      </c>
      <c r="Z46" s="9" t="s">
        <v>241</v>
      </c>
    </row>
    <row r="47" spans="1:26" x14ac:dyDescent="0.2">
      <c r="A47" s="222" t="s">
        <v>477</v>
      </c>
      <c r="B47" s="223" t="s">
        <v>476</v>
      </c>
      <c r="C47" s="223" t="s">
        <v>291</v>
      </c>
      <c r="D47" s="217"/>
      <c r="E47" s="223" t="s">
        <v>476</v>
      </c>
      <c r="F47" s="224" t="s">
        <v>814</v>
      </c>
      <c r="H47" s="246" t="s">
        <v>2443</v>
      </c>
      <c r="I47" s="202" t="s">
        <v>2444</v>
      </c>
      <c r="J47" s="247" t="s">
        <v>2445</v>
      </c>
      <c r="K47" s="247" t="s">
        <v>2446</v>
      </c>
      <c r="L47" s="247" t="s">
        <v>2447</v>
      </c>
      <c r="M47" s="154" t="s">
        <v>2024</v>
      </c>
      <c r="N47" s="43" t="s">
        <v>908</v>
      </c>
      <c r="P47" s="211" t="s">
        <v>1796</v>
      </c>
      <c r="Q47" s="1" t="s">
        <v>93</v>
      </c>
      <c r="R47" s="315" t="s">
        <v>331</v>
      </c>
      <c r="S47" s="318"/>
      <c r="U47" s="242" t="s">
        <v>214</v>
      </c>
      <c r="V47" s="201" t="s">
        <v>213</v>
      </c>
      <c r="W47" s="254" t="s">
        <v>214</v>
      </c>
      <c r="Y47" s="8" t="s">
        <v>249</v>
      </c>
      <c r="Z47" s="9" t="s">
        <v>248</v>
      </c>
    </row>
    <row r="48" spans="1:26" x14ac:dyDescent="0.2">
      <c r="A48" s="222" t="s">
        <v>181</v>
      </c>
      <c r="B48" s="223" t="s">
        <v>180</v>
      </c>
      <c r="C48" s="223" t="s">
        <v>291</v>
      </c>
      <c r="D48" s="217"/>
      <c r="E48" s="223" t="s">
        <v>180</v>
      </c>
      <c r="F48" s="224" t="s">
        <v>875</v>
      </c>
      <c r="H48" s="246" t="s">
        <v>2448</v>
      </c>
      <c r="I48" s="202" t="s">
        <v>2449</v>
      </c>
      <c r="J48" s="247" t="s">
        <v>2450</v>
      </c>
      <c r="K48" s="247" t="s">
        <v>2451</v>
      </c>
      <c r="L48" s="247" t="s">
        <v>2452</v>
      </c>
      <c r="M48" s="154" t="s">
        <v>2024</v>
      </c>
      <c r="N48" s="43" t="s">
        <v>908</v>
      </c>
      <c r="P48" s="211" t="s">
        <v>1794</v>
      </c>
      <c r="Q48" s="1" t="s">
        <v>93</v>
      </c>
      <c r="R48" s="315"/>
      <c r="S48" s="318"/>
      <c r="U48" s="242" t="s">
        <v>210</v>
      </c>
      <c r="V48" s="201" t="s">
        <v>209</v>
      </c>
      <c r="W48" s="254" t="s">
        <v>205</v>
      </c>
      <c r="Y48" s="13" t="s">
        <v>2038</v>
      </c>
      <c r="Z48" s="22" t="s">
        <v>2039</v>
      </c>
    </row>
    <row r="49" spans="1:27" x14ac:dyDescent="0.2">
      <c r="A49" s="222" t="s">
        <v>466</v>
      </c>
      <c r="B49" s="223" t="s">
        <v>465</v>
      </c>
      <c r="C49" s="223" t="s">
        <v>291</v>
      </c>
      <c r="D49" s="217" t="s">
        <v>2398</v>
      </c>
      <c r="E49" s="223" t="s">
        <v>465</v>
      </c>
      <c r="F49" s="224" t="s">
        <v>815</v>
      </c>
      <c r="H49" s="246" t="s">
        <v>2453</v>
      </c>
      <c r="I49" s="202" t="s">
        <v>2454</v>
      </c>
      <c r="J49" s="247" t="s">
        <v>2455</v>
      </c>
      <c r="K49" s="247" t="s">
        <v>2456</v>
      </c>
      <c r="L49" s="247" t="s">
        <v>2457</v>
      </c>
      <c r="M49" s="154" t="s">
        <v>2024</v>
      </c>
      <c r="N49" s="43" t="s">
        <v>908</v>
      </c>
      <c r="P49" s="211" t="s">
        <v>1795</v>
      </c>
      <c r="Q49" s="1" t="s">
        <v>93</v>
      </c>
      <c r="R49" s="315"/>
      <c r="S49" s="318"/>
      <c r="U49" s="258" t="s">
        <v>2370</v>
      </c>
      <c r="V49" s="201" t="s">
        <v>2371</v>
      </c>
      <c r="W49" s="254" t="s">
        <v>2038</v>
      </c>
    </row>
    <row r="50" spans="1:27" x14ac:dyDescent="0.2">
      <c r="A50" s="222" t="s">
        <v>2329</v>
      </c>
      <c r="B50" s="223" t="s">
        <v>810</v>
      </c>
      <c r="C50" s="223" t="s">
        <v>291</v>
      </c>
      <c r="D50" s="227"/>
      <c r="E50" s="223" t="s">
        <v>810</v>
      </c>
      <c r="F50" s="224" t="s">
        <v>811</v>
      </c>
      <c r="H50" s="246" t="s">
        <v>2458</v>
      </c>
      <c r="I50" s="202" t="s">
        <v>2459</v>
      </c>
      <c r="J50" s="247" t="s">
        <v>2460</v>
      </c>
      <c r="K50" s="247" t="s">
        <v>2461</v>
      </c>
      <c r="L50" s="247" t="s">
        <v>2462</v>
      </c>
      <c r="M50" s="154" t="s">
        <v>2024</v>
      </c>
      <c r="N50" s="43" t="s">
        <v>908</v>
      </c>
      <c r="P50" s="211" t="s">
        <v>1797</v>
      </c>
      <c r="Q50" s="1" t="s">
        <v>93</v>
      </c>
      <c r="R50" s="315"/>
      <c r="S50" s="318"/>
      <c r="U50" s="242" t="s">
        <v>200</v>
      </c>
      <c r="V50" s="201" t="s">
        <v>1840</v>
      </c>
      <c r="W50" s="254" t="s">
        <v>199</v>
      </c>
      <c r="Y50" s="321" t="s">
        <v>1136</v>
      </c>
      <c r="Z50" s="321"/>
    </row>
    <row r="51" spans="1:27" x14ac:dyDescent="0.2">
      <c r="A51" s="222" t="s">
        <v>176</v>
      </c>
      <c r="B51" s="223" t="s">
        <v>175</v>
      </c>
      <c r="C51" s="223" t="s">
        <v>291</v>
      </c>
      <c r="D51" s="217"/>
      <c r="E51" s="223" t="s">
        <v>175</v>
      </c>
      <c r="F51" s="224" t="s">
        <v>877</v>
      </c>
      <c r="H51" s="246" t="s">
        <v>2463</v>
      </c>
      <c r="I51" s="202" t="s">
        <v>2464</v>
      </c>
      <c r="J51" s="247" t="s">
        <v>2465</v>
      </c>
      <c r="K51" s="247" t="s">
        <v>2466</v>
      </c>
      <c r="L51" s="247" t="s">
        <v>2467</v>
      </c>
      <c r="M51" s="154" t="s">
        <v>2024</v>
      </c>
      <c r="N51" s="43" t="s">
        <v>908</v>
      </c>
      <c r="P51" s="211" t="s">
        <v>1798</v>
      </c>
      <c r="Q51" s="1" t="s">
        <v>93</v>
      </c>
      <c r="R51" s="315"/>
      <c r="S51" s="318"/>
      <c r="U51" s="260" t="s">
        <v>196</v>
      </c>
      <c r="V51" s="261" t="s">
        <v>1845</v>
      </c>
      <c r="W51" s="262"/>
      <c r="Y51" s="40" t="s">
        <v>711</v>
      </c>
      <c r="Z51" s="41" t="s">
        <v>981</v>
      </c>
    </row>
    <row r="52" spans="1:27" x14ac:dyDescent="0.2">
      <c r="A52" s="222" t="s">
        <v>455</v>
      </c>
      <c r="B52" s="223" t="s">
        <v>454</v>
      </c>
      <c r="C52" s="223" t="s">
        <v>291</v>
      </c>
      <c r="D52" s="217" t="s">
        <v>2393</v>
      </c>
      <c r="E52" s="223" t="s">
        <v>454</v>
      </c>
      <c r="F52" s="224" t="s">
        <v>816</v>
      </c>
      <c r="H52" s="246" t="s">
        <v>2468</v>
      </c>
      <c r="I52" s="202" t="s">
        <v>2469</v>
      </c>
      <c r="J52" s="247" t="s">
        <v>2470</v>
      </c>
      <c r="K52" s="247" t="s">
        <v>2471</v>
      </c>
      <c r="L52" s="247" t="s">
        <v>2472</v>
      </c>
      <c r="M52" s="154" t="s">
        <v>2024</v>
      </c>
      <c r="N52" s="43" t="s">
        <v>908</v>
      </c>
      <c r="P52" s="211" t="s">
        <v>1799</v>
      </c>
      <c r="Q52" s="1" t="s">
        <v>93</v>
      </c>
      <c r="R52" s="315" t="s">
        <v>2391</v>
      </c>
      <c r="S52" s="318" t="s">
        <v>308</v>
      </c>
      <c r="Y52" s="42" t="s">
        <v>982</v>
      </c>
      <c r="Z52" s="43" t="s">
        <v>983</v>
      </c>
    </row>
    <row r="53" spans="1:27" x14ac:dyDescent="0.2">
      <c r="A53" s="222" t="s">
        <v>174</v>
      </c>
      <c r="B53" s="223" t="s">
        <v>173</v>
      </c>
      <c r="C53" s="223" t="s">
        <v>291</v>
      </c>
      <c r="D53" s="217"/>
      <c r="E53" s="223" t="s">
        <v>173</v>
      </c>
      <c r="F53" s="224" t="s">
        <v>878</v>
      </c>
      <c r="H53" s="246" t="s">
        <v>2473</v>
      </c>
      <c r="I53" s="202" t="s">
        <v>2474</v>
      </c>
      <c r="J53" s="247" t="s">
        <v>2475</v>
      </c>
      <c r="K53" s="247" t="s">
        <v>2476</v>
      </c>
      <c r="L53" s="247" t="s">
        <v>2477</v>
      </c>
      <c r="M53" s="154" t="s">
        <v>2024</v>
      </c>
      <c r="N53" s="43" t="s">
        <v>908</v>
      </c>
      <c r="P53" s="211" t="s">
        <v>1800</v>
      </c>
      <c r="Q53" s="1" t="s">
        <v>93</v>
      </c>
      <c r="R53" s="315"/>
      <c r="S53" s="318"/>
      <c r="Y53" s="44" t="s">
        <v>918</v>
      </c>
      <c r="Z53" s="45" t="s">
        <v>984</v>
      </c>
    </row>
    <row r="54" spans="1:27" x14ac:dyDescent="0.2">
      <c r="A54" s="222" t="s">
        <v>445</v>
      </c>
      <c r="B54" s="223" t="s">
        <v>444</v>
      </c>
      <c r="C54" s="223" t="s">
        <v>291</v>
      </c>
      <c r="D54" s="217" t="s">
        <v>362</v>
      </c>
      <c r="E54" s="223" t="s">
        <v>444</v>
      </c>
      <c r="F54" s="224" t="s">
        <v>817</v>
      </c>
      <c r="H54" s="246" t="s">
        <v>2478</v>
      </c>
      <c r="I54" s="202" t="s">
        <v>2479</v>
      </c>
      <c r="J54" s="247" t="s">
        <v>2480</v>
      </c>
      <c r="K54" s="247" t="s">
        <v>2481</v>
      </c>
      <c r="L54" s="247" t="s">
        <v>2482</v>
      </c>
      <c r="M54" s="154" t="s">
        <v>2024</v>
      </c>
      <c r="N54" s="43" t="s">
        <v>908</v>
      </c>
      <c r="P54" s="211" t="s">
        <v>1801</v>
      </c>
      <c r="Q54" s="1" t="s">
        <v>93</v>
      </c>
      <c r="R54" s="315"/>
      <c r="S54" s="318"/>
      <c r="U54" s="320" t="s">
        <v>1129</v>
      </c>
      <c r="V54" s="320"/>
    </row>
    <row r="55" spans="1:27" x14ac:dyDescent="0.2">
      <c r="A55" s="222" t="s">
        <v>2330</v>
      </c>
      <c r="B55" s="223" t="s">
        <v>441</v>
      </c>
      <c r="C55" s="223" t="s">
        <v>291</v>
      </c>
      <c r="D55" s="217"/>
      <c r="E55" s="223" t="s">
        <v>441</v>
      </c>
      <c r="F55" s="224" t="s">
        <v>250</v>
      </c>
      <c r="H55" s="246" t="s">
        <v>2483</v>
      </c>
      <c r="I55" s="202" t="s">
        <v>2484</v>
      </c>
      <c r="J55" s="247" t="s">
        <v>2485</v>
      </c>
      <c r="K55" s="247" t="s">
        <v>2486</v>
      </c>
      <c r="L55" s="247" t="s">
        <v>2487</v>
      </c>
      <c r="M55" s="154" t="s">
        <v>2024</v>
      </c>
      <c r="N55" s="43" t="s">
        <v>908</v>
      </c>
      <c r="P55" s="211" t="s">
        <v>1802</v>
      </c>
      <c r="Q55" s="1" t="s">
        <v>93</v>
      </c>
      <c r="R55" s="315"/>
      <c r="S55" s="318"/>
      <c r="U55" s="61" t="s">
        <v>2249</v>
      </c>
      <c r="V55" s="61" t="s">
        <v>707</v>
      </c>
    </row>
    <row r="56" spans="1:27" x14ac:dyDescent="0.2">
      <c r="A56" s="222" t="s">
        <v>435</v>
      </c>
      <c r="B56" s="223" t="s">
        <v>434</v>
      </c>
      <c r="C56" s="223" t="s">
        <v>291</v>
      </c>
      <c r="D56" s="217"/>
      <c r="E56" s="223" t="s">
        <v>434</v>
      </c>
      <c r="F56" s="224" t="s">
        <v>818</v>
      </c>
      <c r="H56" s="246" t="s">
        <v>2488</v>
      </c>
      <c r="I56" s="202" t="s">
        <v>2489</v>
      </c>
      <c r="J56" s="247" t="s">
        <v>2490</v>
      </c>
      <c r="K56" s="247" t="s">
        <v>2491</v>
      </c>
      <c r="L56" s="247" t="s">
        <v>2492</v>
      </c>
      <c r="M56" s="154" t="s">
        <v>2024</v>
      </c>
      <c r="N56" s="43" t="s">
        <v>908</v>
      </c>
      <c r="P56" s="211" t="s">
        <v>1803</v>
      </c>
      <c r="Q56" s="1" t="s">
        <v>93</v>
      </c>
      <c r="R56" s="315"/>
      <c r="S56" s="318"/>
      <c r="U56" s="8" t="s">
        <v>309</v>
      </c>
      <c r="V56" s="9" t="s">
        <v>920</v>
      </c>
      <c r="Y56" s="321" t="s">
        <v>1137</v>
      </c>
      <c r="Z56" s="321"/>
    </row>
    <row r="57" spans="1:27" x14ac:dyDescent="0.2">
      <c r="A57" s="222" t="s">
        <v>433</v>
      </c>
      <c r="B57" s="223" t="s">
        <v>432</v>
      </c>
      <c r="C57" s="223" t="s">
        <v>291</v>
      </c>
      <c r="D57" s="217"/>
      <c r="E57" s="223" t="s">
        <v>432</v>
      </c>
      <c r="F57" s="224" t="s">
        <v>819</v>
      </c>
      <c r="H57" s="246" t="s">
        <v>2493</v>
      </c>
      <c r="I57" s="202" t="s">
        <v>2494</v>
      </c>
      <c r="J57" s="247" t="s">
        <v>2495</v>
      </c>
      <c r="K57" s="247" t="s">
        <v>2496</v>
      </c>
      <c r="L57" s="247" t="s">
        <v>2497</v>
      </c>
      <c r="M57" s="154" t="s">
        <v>2024</v>
      </c>
      <c r="N57" s="43" t="s">
        <v>908</v>
      </c>
      <c r="P57" s="211" t="s">
        <v>1804</v>
      </c>
      <c r="Q57" s="1" t="s">
        <v>93</v>
      </c>
      <c r="R57" s="315"/>
      <c r="S57" s="318"/>
      <c r="U57" s="8" t="s">
        <v>694</v>
      </c>
      <c r="V57" s="9" t="s">
        <v>921</v>
      </c>
      <c r="Y57" s="40" t="s">
        <v>985</v>
      </c>
      <c r="Z57" s="41" t="s">
        <v>2031</v>
      </c>
      <c r="AA57" s="172" t="s">
        <v>2257</v>
      </c>
    </row>
    <row r="58" spans="1:27" x14ac:dyDescent="0.2">
      <c r="A58" s="222" t="s">
        <v>424</v>
      </c>
      <c r="B58" s="223" t="s">
        <v>423</v>
      </c>
      <c r="C58" s="223" t="s">
        <v>291</v>
      </c>
      <c r="D58" s="217"/>
      <c r="E58" s="223" t="s">
        <v>423</v>
      </c>
      <c r="F58" s="224" t="s">
        <v>820</v>
      </c>
      <c r="H58" s="246" t="s">
        <v>309</v>
      </c>
      <c r="I58" s="202" t="s">
        <v>2498</v>
      </c>
      <c r="J58" s="247" t="s">
        <v>2499</v>
      </c>
      <c r="K58" s="247" t="s">
        <v>2500</v>
      </c>
      <c r="L58" s="247" t="s">
        <v>2501</v>
      </c>
      <c r="M58" s="154" t="s">
        <v>2024</v>
      </c>
      <c r="N58" s="43" t="s">
        <v>908</v>
      </c>
      <c r="P58" s="211" t="s">
        <v>1805</v>
      </c>
      <c r="Q58" s="1" t="s">
        <v>93</v>
      </c>
      <c r="R58" s="315"/>
      <c r="S58" s="318"/>
      <c r="U58" s="8" t="s">
        <v>682</v>
      </c>
      <c r="V58" s="9" t="s">
        <v>681</v>
      </c>
      <c r="Y58" s="42" t="s">
        <v>2032</v>
      </c>
      <c r="Z58" s="43" t="s">
        <v>2033</v>
      </c>
      <c r="AA58" s="172" t="s">
        <v>2258</v>
      </c>
    </row>
    <row r="59" spans="1:27" x14ac:dyDescent="0.2">
      <c r="A59" s="222" t="s">
        <v>2331</v>
      </c>
      <c r="B59" s="223" t="s">
        <v>416</v>
      </c>
      <c r="C59" s="223" t="s">
        <v>291</v>
      </c>
      <c r="D59" s="217"/>
      <c r="E59" s="223" t="s">
        <v>416</v>
      </c>
      <c r="F59" s="224" t="s">
        <v>821</v>
      </c>
      <c r="H59" s="246" t="s">
        <v>2502</v>
      </c>
      <c r="I59" s="202" t="s">
        <v>2503</v>
      </c>
      <c r="J59" s="247" t="s">
        <v>2504</v>
      </c>
      <c r="K59" s="247" t="s">
        <v>2505</v>
      </c>
      <c r="L59" s="247" t="s">
        <v>2506</v>
      </c>
      <c r="M59" s="154" t="s">
        <v>2024</v>
      </c>
      <c r="N59" s="43" t="s">
        <v>908</v>
      </c>
      <c r="P59" s="211" t="s">
        <v>1806</v>
      </c>
      <c r="Q59" s="213" t="s">
        <v>91</v>
      </c>
      <c r="R59" s="315"/>
      <c r="S59" s="318"/>
      <c r="U59" s="8" t="s">
        <v>671</v>
      </c>
      <c r="V59" s="9" t="s">
        <v>670</v>
      </c>
      <c r="Y59" s="42" t="s">
        <v>2034</v>
      </c>
      <c r="Z59" s="43" t="s">
        <v>2035</v>
      </c>
      <c r="AA59" s="172" t="s">
        <v>2259</v>
      </c>
    </row>
    <row r="60" spans="1:27" x14ac:dyDescent="0.2">
      <c r="A60" s="222" t="s">
        <v>157</v>
      </c>
      <c r="B60" s="223" t="s">
        <v>156</v>
      </c>
      <c r="C60" s="223" t="s">
        <v>291</v>
      </c>
      <c r="D60" s="217"/>
      <c r="E60" s="223" t="s">
        <v>156</v>
      </c>
      <c r="F60" s="224" t="s">
        <v>885</v>
      </c>
      <c r="H60" s="246" t="s">
        <v>2507</v>
      </c>
      <c r="I60" s="202" t="s">
        <v>2508</v>
      </c>
      <c r="J60" s="247" t="s">
        <v>2509</v>
      </c>
      <c r="K60" s="247" t="s">
        <v>2510</v>
      </c>
      <c r="L60" s="247" t="s">
        <v>2511</v>
      </c>
      <c r="M60" s="154" t="s">
        <v>2024</v>
      </c>
      <c r="N60" s="43" t="s">
        <v>908</v>
      </c>
      <c r="P60" s="211" t="s">
        <v>1807</v>
      </c>
      <c r="Q60" s="1" t="s">
        <v>93</v>
      </c>
      <c r="R60" s="315"/>
      <c r="S60" s="318"/>
      <c r="U60" s="8" t="s">
        <v>659</v>
      </c>
      <c r="V60" s="9" t="s">
        <v>658</v>
      </c>
      <c r="Y60" s="42" t="s">
        <v>986</v>
      </c>
      <c r="Z60" s="43" t="s">
        <v>2036</v>
      </c>
      <c r="AA60" s="172" t="s">
        <v>2260</v>
      </c>
    </row>
    <row r="61" spans="1:27" x14ac:dyDescent="0.2">
      <c r="A61" s="222" t="s">
        <v>412</v>
      </c>
      <c r="B61" s="223" t="s">
        <v>411</v>
      </c>
      <c r="C61" s="223" t="s">
        <v>291</v>
      </c>
      <c r="D61" s="217"/>
      <c r="E61" s="223" t="s">
        <v>411</v>
      </c>
      <c r="F61" s="224" t="s">
        <v>822</v>
      </c>
      <c r="H61" s="246" t="s">
        <v>2512</v>
      </c>
      <c r="I61" s="202" t="s">
        <v>2513</v>
      </c>
      <c r="J61" s="247" t="s">
        <v>2514</v>
      </c>
      <c r="K61" s="247" t="s">
        <v>2515</v>
      </c>
      <c r="L61" s="247" t="s">
        <v>2516</v>
      </c>
      <c r="M61" s="154" t="s">
        <v>2024</v>
      </c>
      <c r="N61" s="43" t="s">
        <v>908</v>
      </c>
      <c r="P61" s="211" t="s">
        <v>1808</v>
      </c>
      <c r="Q61" s="1" t="s">
        <v>93</v>
      </c>
      <c r="R61" s="315"/>
      <c r="S61" s="318"/>
      <c r="U61" s="8" t="s">
        <v>653</v>
      </c>
      <c r="V61" s="9" t="s">
        <v>652</v>
      </c>
      <c r="Y61" s="44" t="s">
        <v>919</v>
      </c>
      <c r="Z61" s="45" t="s">
        <v>2037</v>
      </c>
      <c r="AA61" s="172" t="s">
        <v>2261</v>
      </c>
    </row>
    <row r="62" spans="1:27" x14ac:dyDescent="0.2">
      <c r="A62" s="222" t="s">
        <v>405</v>
      </c>
      <c r="B62" s="223" t="s">
        <v>404</v>
      </c>
      <c r="C62" s="223" t="s">
        <v>291</v>
      </c>
      <c r="D62" s="217" t="s">
        <v>2399</v>
      </c>
      <c r="E62" s="223" t="s">
        <v>404</v>
      </c>
      <c r="F62" s="224" t="s">
        <v>823</v>
      </c>
      <c r="H62" s="246" t="s">
        <v>2517</v>
      </c>
      <c r="I62" s="202" t="s">
        <v>2518</v>
      </c>
      <c r="J62" s="247" t="s">
        <v>2519</v>
      </c>
      <c r="K62" s="247" t="s">
        <v>2520</v>
      </c>
      <c r="L62" s="247" t="s">
        <v>2521</v>
      </c>
      <c r="M62" s="154" t="s">
        <v>2024</v>
      </c>
      <c r="N62" s="43" t="s">
        <v>908</v>
      </c>
      <c r="P62" s="211" t="s">
        <v>1809</v>
      </c>
      <c r="Q62" s="1" t="s">
        <v>93</v>
      </c>
      <c r="R62" s="315"/>
      <c r="S62" s="318"/>
      <c r="U62" s="8" t="s">
        <v>645</v>
      </c>
      <c r="V62" s="9" t="s">
        <v>644</v>
      </c>
    </row>
    <row r="63" spans="1:27" x14ac:dyDescent="0.2">
      <c r="A63" s="222" t="s">
        <v>402</v>
      </c>
      <c r="B63" s="223" t="s">
        <v>401</v>
      </c>
      <c r="C63" s="223" t="s">
        <v>291</v>
      </c>
      <c r="D63" s="217"/>
      <c r="E63" s="223" t="s">
        <v>401</v>
      </c>
      <c r="F63" s="224" t="s">
        <v>824</v>
      </c>
      <c r="H63" s="246" t="s">
        <v>2522</v>
      </c>
      <c r="I63" s="202" t="s">
        <v>2523</v>
      </c>
      <c r="J63" s="247" t="s">
        <v>2524</v>
      </c>
      <c r="K63" s="247" t="s">
        <v>2525</v>
      </c>
      <c r="L63" s="247" t="s">
        <v>2526</v>
      </c>
      <c r="M63" s="154" t="s">
        <v>2024</v>
      </c>
      <c r="N63" s="43" t="s">
        <v>908</v>
      </c>
      <c r="P63" s="211" t="s">
        <v>1810</v>
      </c>
      <c r="Q63" s="1" t="s">
        <v>93</v>
      </c>
      <c r="R63" s="315"/>
      <c r="S63" s="318"/>
      <c r="U63" s="8" t="s">
        <v>638</v>
      </c>
      <c r="V63" s="9" t="s">
        <v>637</v>
      </c>
    </row>
    <row r="64" spans="1:27" x14ac:dyDescent="0.2">
      <c r="A64" s="222" t="s">
        <v>395</v>
      </c>
      <c r="B64" s="223" t="s">
        <v>394</v>
      </c>
      <c r="C64" s="223" t="s">
        <v>291</v>
      </c>
      <c r="D64" s="217"/>
      <c r="E64" s="223" t="s">
        <v>394</v>
      </c>
      <c r="F64" s="224" t="s">
        <v>825</v>
      </c>
      <c r="H64" s="246" t="s">
        <v>2527</v>
      </c>
      <c r="I64" s="202" t="s">
        <v>2528</v>
      </c>
      <c r="J64" s="247" t="s">
        <v>2529</v>
      </c>
      <c r="K64" s="247" t="s">
        <v>2530</v>
      </c>
      <c r="L64" s="247" t="s">
        <v>2531</v>
      </c>
      <c r="M64" s="154" t="s">
        <v>2024</v>
      </c>
      <c r="N64" s="43" t="s">
        <v>908</v>
      </c>
      <c r="P64" s="211" t="s">
        <v>1811</v>
      </c>
      <c r="Q64" s="1" t="s">
        <v>93</v>
      </c>
      <c r="R64" s="315"/>
      <c r="S64" s="318"/>
      <c r="U64" s="13" t="s">
        <v>196</v>
      </c>
      <c r="V64" s="14" t="s">
        <v>318</v>
      </c>
    </row>
    <row r="65" spans="1:22" x14ac:dyDescent="0.2">
      <c r="A65" s="222" t="s">
        <v>137</v>
      </c>
      <c r="B65" s="223" t="s">
        <v>136</v>
      </c>
      <c r="C65" s="223" t="s">
        <v>291</v>
      </c>
      <c r="D65" s="227"/>
      <c r="E65" s="223" t="s">
        <v>136</v>
      </c>
      <c r="F65" s="224" t="s">
        <v>888</v>
      </c>
      <c r="H65" s="246" t="s">
        <v>2532</v>
      </c>
      <c r="I65" s="202" t="s">
        <v>2533</v>
      </c>
      <c r="J65" s="247" t="s">
        <v>2534</v>
      </c>
      <c r="K65" s="247" t="s">
        <v>2535</v>
      </c>
      <c r="L65" s="247" t="s">
        <v>2536</v>
      </c>
      <c r="M65" s="154" t="s">
        <v>2024</v>
      </c>
      <c r="N65" s="43" t="s">
        <v>908</v>
      </c>
      <c r="P65" s="211" t="s">
        <v>1812</v>
      </c>
      <c r="Q65" s="1" t="s">
        <v>93</v>
      </c>
      <c r="R65" s="315"/>
      <c r="S65" s="318"/>
      <c r="U65" s="15"/>
      <c r="V65" s="15"/>
    </row>
    <row r="66" spans="1:22" x14ac:dyDescent="0.2">
      <c r="A66" s="222" t="s">
        <v>390</v>
      </c>
      <c r="B66" s="223" t="s">
        <v>389</v>
      </c>
      <c r="C66" s="223" t="s">
        <v>291</v>
      </c>
      <c r="D66" s="217"/>
      <c r="E66" s="223" t="s">
        <v>389</v>
      </c>
      <c r="F66" s="224" t="s">
        <v>826</v>
      </c>
      <c r="H66" s="246" t="s">
        <v>2537</v>
      </c>
      <c r="I66" s="202" t="s">
        <v>2538</v>
      </c>
      <c r="J66" s="247" t="s">
        <v>2539</v>
      </c>
      <c r="K66" s="247" t="s">
        <v>2540</v>
      </c>
      <c r="L66" s="247" t="s">
        <v>2541</v>
      </c>
      <c r="M66" s="154" t="s">
        <v>2024</v>
      </c>
      <c r="N66" s="43" t="s">
        <v>908</v>
      </c>
      <c r="P66" s="211" t="s">
        <v>1813</v>
      </c>
      <c r="Q66" s="1" t="s">
        <v>93</v>
      </c>
      <c r="R66" s="315"/>
      <c r="S66" s="318"/>
    </row>
    <row r="67" spans="1:22" x14ac:dyDescent="0.2">
      <c r="A67" s="222" t="s">
        <v>386</v>
      </c>
      <c r="B67" s="223" t="s">
        <v>385</v>
      </c>
      <c r="C67" s="223" t="s">
        <v>291</v>
      </c>
      <c r="D67" s="217"/>
      <c r="E67" s="223" t="s">
        <v>385</v>
      </c>
      <c r="F67" s="224" t="s">
        <v>827</v>
      </c>
      <c r="H67" s="242" t="s">
        <v>431</v>
      </c>
      <c r="I67" s="201" t="s">
        <v>430</v>
      </c>
      <c r="J67" s="201" t="s">
        <v>429</v>
      </c>
      <c r="K67" s="201" t="s">
        <v>428</v>
      </c>
      <c r="L67" s="201" t="s">
        <v>427</v>
      </c>
      <c r="M67" s="154" t="s">
        <v>2024</v>
      </c>
      <c r="N67" s="43" t="s">
        <v>908</v>
      </c>
      <c r="P67" s="211" t="s">
        <v>1814</v>
      </c>
      <c r="Q67" s="1" t="s">
        <v>93</v>
      </c>
      <c r="R67" s="315"/>
      <c r="S67" s="318"/>
      <c r="U67" s="320" t="s">
        <v>1130</v>
      </c>
      <c r="V67" s="320"/>
    </row>
    <row r="68" spans="1:22" x14ac:dyDescent="0.2">
      <c r="A68" s="222" t="s">
        <v>381</v>
      </c>
      <c r="B68" s="223" t="s">
        <v>380</v>
      </c>
      <c r="C68" s="223" t="s">
        <v>291</v>
      </c>
      <c r="D68" s="217"/>
      <c r="E68" s="223" t="s">
        <v>380</v>
      </c>
      <c r="F68" s="224" t="s">
        <v>828</v>
      </c>
      <c r="H68" s="242" t="s">
        <v>440</v>
      </c>
      <c r="I68" s="201" t="s">
        <v>439</v>
      </c>
      <c r="J68" s="201" t="s">
        <v>438</v>
      </c>
      <c r="K68" s="201" t="s">
        <v>437</v>
      </c>
      <c r="L68" s="201" t="s">
        <v>436</v>
      </c>
      <c r="M68" s="154" t="s">
        <v>2024</v>
      </c>
      <c r="N68" s="43" t="s">
        <v>908</v>
      </c>
      <c r="P68" s="211" t="s">
        <v>98</v>
      </c>
      <c r="Q68" s="1" t="s">
        <v>93</v>
      </c>
      <c r="R68" s="315" t="s">
        <v>185</v>
      </c>
      <c r="S68" s="319" t="s">
        <v>184</v>
      </c>
      <c r="U68" s="59" t="s">
        <v>2250</v>
      </c>
      <c r="V68" s="60" t="s">
        <v>607</v>
      </c>
    </row>
    <row r="69" spans="1:22" x14ac:dyDescent="0.2">
      <c r="A69" s="222" t="s">
        <v>2332</v>
      </c>
      <c r="B69" s="223" t="s">
        <v>2333</v>
      </c>
      <c r="C69" s="223" t="s">
        <v>291</v>
      </c>
      <c r="D69" s="227"/>
      <c r="E69" s="223" t="s">
        <v>2334</v>
      </c>
      <c r="F69" s="224" t="s">
        <v>811</v>
      </c>
      <c r="H69" s="242" t="s">
        <v>422</v>
      </c>
      <c r="I69" s="201" t="s">
        <v>421</v>
      </c>
      <c r="J69" s="201" t="s">
        <v>420</v>
      </c>
      <c r="K69" s="201" t="s">
        <v>419</v>
      </c>
      <c r="L69" s="201" t="s">
        <v>418</v>
      </c>
      <c r="M69" s="154" t="s">
        <v>2024</v>
      </c>
      <c r="N69" s="43" t="s">
        <v>908</v>
      </c>
      <c r="P69" s="211" t="s">
        <v>96</v>
      </c>
      <c r="Q69" s="1" t="s">
        <v>93</v>
      </c>
      <c r="R69" s="315"/>
      <c r="S69" s="319"/>
      <c r="U69" s="16" t="s">
        <v>604</v>
      </c>
      <c r="V69" s="17" t="s">
        <v>603</v>
      </c>
    </row>
    <row r="70" spans="1:22" x14ac:dyDescent="0.2">
      <c r="A70" s="222" t="s">
        <v>377</v>
      </c>
      <c r="B70" s="223" t="s">
        <v>376</v>
      </c>
      <c r="C70" s="223" t="s">
        <v>291</v>
      </c>
      <c r="D70" s="217"/>
      <c r="E70" s="223" t="s">
        <v>376</v>
      </c>
      <c r="F70" s="224" t="s">
        <v>752</v>
      </c>
      <c r="H70" s="242" t="s">
        <v>1189</v>
      </c>
      <c r="I70" s="201" t="s">
        <v>1190</v>
      </c>
      <c r="J70" s="201" t="s">
        <v>1191</v>
      </c>
      <c r="K70" s="201" t="s">
        <v>1192</v>
      </c>
      <c r="L70" s="201" t="s">
        <v>1193</v>
      </c>
      <c r="M70" s="154" t="s">
        <v>2024</v>
      </c>
      <c r="N70" s="43" t="s">
        <v>908</v>
      </c>
      <c r="P70" s="211" t="s">
        <v>95</v>
      </c>
      <c r="Q70" s="1" t="s">
        <v>93</v>
      </c>
      <c r="R70" s="315"/>
      <c r="S70" s="319"/>
      <c r="U70" s="16" t="s">
        <v>596</v>
      </c>
      <c r="V70" s="17" t="s">
        <v>595</v>
      </c>
    </row>
    <row r="71" spans="1:22" x14ac:dyDescent="0.2">
      <c r="A71" s="222" t="s">
        <v>371</v>
      </c>
      <c r="B71" s="223" t="s">
        <v>370</v>
      </c>
      <c r="C71" s="223" t="s">
        <v>291</v>
      </c>
      <c r="D71" s="217" t="s">
        <v>2393</v>
      </c>
      <c r="E71" s="223" t="s">
        <v>370</v>
      </c>
      <c r="F71" s="224" t="s">
        <v>829</v>
      </c>
      <c r="H71" s="248" t="s">
        <v>1943</v>
      </c>
      <c r="I71" s="201" t="s">
        <v>2542</v>
      </c>
      <c r="J71" s="201" t="s">
        <v>1944</v>
      </c>
      <c r="K71" s="201" t="s">
        <v>1945</v>
      </c>
      <c r="L71" s="201" t="s">
        <v>1946</v>
      </c>
      <c r="M71" s="154" t="s">
        <v>2024</v>
      </c>
      <c r="N71" s="43" t="s">
        <v>908</v>
      </c>
      <c r="P71" s="211" t="s">
        <v>94</v>
      </c>
      <c r="Q71" s="1" t="s">
        <v>93</v>
      </c>
      <c r="R71" s="315"/>
      <c r="S71" s="319"/>
      <c r="U71" s="16" t="s">
        <v>589</v>
      </c>
      <c r="V71" s="17" t="s">
        <v>588</v>
      </c>
    </row>
    <row r="72" spans="1:22" x14ac:dyDescent="0.2">
      <c r="A72" s="222" t="s">
        <v>368</v>
      </c>
      <c r="B72" s="223" t="s">
        <v>367</v>
      </c>
      <c r="C72" s="223" t="s">
        <v>291</v>
      </c>
      <c r="D72" s="217"/>
      <c r="E72" s="223" t="s">
        <v>367</v>
      </c>
      <c r="F72" s="224" t="s">
        <v>830</v>
      </c>
      <c r="H72" s="248" t="s">
        <v>1947</v>
      </c>
      <c r="I72" s="201" t="s">
        <v>2543</v>
      </c>
      <c r="J72" s="201" t="s">
        <v>1948</v>
      </c>
      <c r="K72" s="201" t="s">
        <v>1949</v>
      </c>
      <c r="L72" s="201" t="s">
        <v>1950</v>
      </c>
      <c r="M72" s="154" t="s">
        <v>2024</v>
      </c>
      <c r="N72" s="43" t="s">
        <v>908</v>
      </c>
      <c r="P72" s="211" t="s">
        <v>105</v>
      </c>
      <c r="Q72" s="1" t="s">
        <v>93</v>
      </c>
      <c r="R72" s="315"/>
      <c r="S72" s="319"/>
      <c r="U72" s="16" t="s">
        <v>582</v>
      </c>
      <c r="V72" s="17" t="s">
        <v>581</v>
      </c>
    </row>
    <row r="73" spans="1:22" x14ac:dyDescent="0.2">
      <c r="A73" s="222" t="s">
        <v>365</v>
      </c>
      <c r="B73" s="223" t="s">
        <v>364</v>
      </c>
      <c r="C73" s="223" t="s">
        <v>291</v>
      </c>
      <c r="D73" s="217"/>
      <c r="E73" s="223" t="s">
        <v>364</v>
      </c>
      <c r="F73" s="224" t="s">
        <v>831</v>
      </c>
      <c r="H73" s="248" t="s">
        <v>1951</v>
      </c>
      <c r="I73" s="201" t="s">
        <v>2544</v>
      </c>
      <c r="J73" s="202" t="s">
        <v>2545</v>
      </c>
      <c r="K73" s="201" t="s">
        <v>1952</v>
      </c>
      <c r="L73" s="201" t="s">
        <v>1953</v>
      </c>
      <c r="M73" s="154" t="s">
        <v>2024</v>
      </c>
      <c r="N73" s="43" t="s">
        <v>908</v>
      </c>
      <c r="P73" s="211" t="s">
        <v>103</v>
      </c>
      <c r="Q73" s="1" t="s">
        <v>93</v>
      </c>
      <c r="R73" s="315"/>
      <c r="S73" s="319"/>
      <c r="U73" s="16" t="s">
        <v>574</v>
      </c>
      <c r="V73" s="17" t="s">
        <v>573</v>
      </c>
    </row>
    <row r="74" spans="1:22" x14ac:dyDescent="0.2">
      <c r="A74" s="222" t="s">
        <v>2335</v>
      </c>
      <c r="B74" s="223" t="s">
        <v>361</v>
      </c>
      <c r="C74" s="223" t="s">
        <v>291</v>
      </c>
      <c r="D74" s="217" t="s">
        <v>362</v>
      </c>
      <c r="E74" s="223" t="s">
        <v>361</v>
      </c>
      <c r="F74" s="224" t="s">
        <v>832</v>
      </c>
      <c r="H74" s="248" t="s">
        <v>1954</v>
      </c>
      <c r="I74" s="202" t="s">
        <v>2546</v>
      </c>
      <c r="J74" s="202" t="s">
        <v>2547</v>
      </c>
      <c r="K74" s="201" t="s">
        <v>1955</v>
      </c>
      <c r="L74" s="201" t="s">
        <v>1956</v>
      </c>
      <c r="M74" s="154" t="s">
        <v>2024</v>
      </c>
      <c r="N74" s="43" t="s">
        <v>908</v>
      </c>
      <c r="P74" s="211" t="s">
        <v>100</v>
      </c>
      <c r="Q74" s="1" t="s">
        <v>93</v>
      </c>
      <c r="R74" s="315" t="s">
        <v>172</v>
      </c>
      <c r="S74" s="319"/>
      <c r="U74" s="16" t="s">
        <v>572</v>
      </c>
      <c r="V74" s="17" t="s">
        <v>571</v>
      </c>
    </row>
    <row r="75" spans="1:22" x14ac:dyDescent="0.2">
      <c r="A75" s="222" t="s">
        <v>2336</v>
      </c>
      <c r="B75" s="223" t="s">
        <v>2337</v>
      </c>
      <c r="C75" s="223" t="s">
        <v>291</v>
      </c>
      <c r="D75" s="227"/>
      <c r="E75" s="223" t="s">
        <v>2338</v>
      </c>
      <c r="F75" s="224" t="s">
        <v>811</v>
      </c>
      <c r="H75" s="242" t="s">
        <v>326</v>
      </c>
      <c r="I75" s="201" t="s">
        <v>325</v>
      </c>
      <c r="J75" s="201" t="s">
        <v>324</v>
      </c>
      <c r="K75" s="201" t="s">
        <v>323</v>
      </c>
      <c r="L75" s="201" t="s">
        <v>322</v>
      </c>
      <c r="M75" s="154" t="s">
        <v>2024</v>
      </c>
      <c r="N75" s="43" t="s">
        <v>908</v>
      </c>
      <c r="P75" s="211" t="s">
        <v>102</v>
      </c>
      <c r="Q75" s="1" t="s">
        <v>93</v>
      </c>
      <c r="R75" s="315"/>
      <c r="S75" s="319"/>
      <c r="U75" s="18" t="s">
        <v>196</v>
      </c>
      <c r="V75" s="19" t="s">
        <v>318</v>
      </c>
    </row>
    <row r="76" spans="1:22" x14ac:dyDescent="0.2">
      <c r="A76" s="222" t="s">
        <v>359</v>
      </c>
      <c r="B76" s="223" t="s">
        <v>358</v>
      </c>
      <c r="C76" s="223" t="s">
        <v>291</v>
      </c>
      <c r="D76" s="217" t="s">
        <v>2400</v>
      </c>
      <c r="E76" s="223" t="s">
        <v>358</v>
      </c>
      <c r="F76" s="224" t="s">
        <v>833</v>
      </c>
      <c r="H76" s="248" t="s">
        <v>1194</v>
      </c>
      <c r="I76" s="201" t="s">
        <v>1195</v>
      </c>
      <c r="J76" s="201" t="s">
        <v>1196</v>
      </c>
      <c r="K76" s="201" t="s">
        <v>1197</v>
      </c>
      <c r="L76" s="201" t="s">
        <v>1198</v>
      </c>
      <c r="M76" s="154" t="s">
        <v>2024</v>
      </c>
      <c r="N76" s="43" t="s">
        <v>908</v>
      </c>
      <c r="P76" s="211" t="s">
        <v>92</v>
      </c>
      <c r="Q76" s="213" t="s">
        <v>91</v>
      </c>
      <c r="R76" s="212" t="s">
        <v>167</v>
      </c>
      <c r="S76" s="319"/>
      <c r="U76" s="15"/>
      <c r="V76" s="15"/>
    </row>
    <row r="77" spans="1:22" x14ac:dyDescent="0.2">
      <c r="A77" s="222" t="s">
        <v>355</v>
      </c>
      <c r="B77" s="223" t="s">
        <v>354</v>
      </c>
      <c r="C77" s="223" t="s">
        <v>291</v>
      </c>
      <c r="D77" s="217"/>
      <c r="E77" s="223" t="s">
        <v>354</v>
      </c>
      <c r="F77" s="224" t="s">
        <v>834</v>
      </c>
      <c r="H77" s="248" t="s">
        <v>1957</v>
      </c>
      <c r="I77" s="201" t="s">
        <v>2548</v>
      </c>
      <c r="J77" s="202" t="s">
        <v>2549</v>
      </c>
      <c r="K77" s="201" t="s">
        <v>1958</v>
      </c>
      <c r="L77" s="201" t="s">
        <v>1959</v>
      </c>
      <c r="M77" s="154" t="s">
        <v>2024</v>
      </c>
      <c r="N77" s="43" t="s">
        <v>908</v>
      </c>
      <c r="P77" s="211" t="s">
        <v>98</v>
      </c>
      <c r="Q77" s="1" t="s">
        <v>93</v>
      </c>
      <c r="R77" s="315" t="s">
        <v>1815</v>
      </c>
      <c r="S77" s="319" t="s">
        <v>164</v>
      </c>
      <c r="U77" s="15"/>
      <c r="V77" s="15"/>
    </row>
    <row r="78" spans="1:22" x14ac:dyDescent="0.2">
      <c r="A78" s="222" t="s">
        <v>350</v>
      </c>
      <c r="B78" s="223" t="s">
        <v>349</v>
      </c>
      <c r="C78" s="223" t="s">
        <v>291</v>
      </c>
      <c r="D78" s="217" t="s">
        <v>1843</v>
      </c>
      <c r="E78" s="223" t="s">
        <v>349</v>
      </c>
      <c r="F78" s="224" t="s">
        <v>835</v>
      </c>
      <c r="H78" s="242" t="s">
        <v>410</v>
      </c>
      <c r="I78" s="201" t="s">
        <v>409</v>
      </c>
      <c r="J78" s="201" t="s">
        <v>408</v>
      </c>
      <c r="K78" s="201" t="s">
        <v>407</v>
      </c>
      <c r="L78" s="201" t="s">
        <v>406</v>
      </c>
      <c r="M78" s="154" t="s">
        <v>2024</v>
      </c>
      <c r="N78" s="43" t="s">
        <v>908</v>
      </c>
      <c r="P78" s="211" t="s">
        <v>96</v>
      </c>
      <c r="Q78" s="1" t="s">
        <v>93</v>
      </c>
      <c r="R78" s="315"/>
      <c r="S78" s="319"/>
      <c r="U78" s="320" t="s">
        <v>1131</v>
      </c>
      <c r="V78" s="320"/>
    </row>
    <row r="79" spans="1:22" x14ac:dyDescent="0.2">
      <c r="A79" s="222" t="s">
        <v>2339</v>
      </c>
      <c r="B79" s="223" t="s">
        <v>346</v>
      </c>
      <c r="C79" s="223" t="s">
        <v>291</v>
      </c>
      <c r="D79" s="217"/>
      <c r="E79" s="223" t="s">
        <v>346</v>
      </c>
      <c r="F79" s="224" t="s">
        <v>836</v>
      </c>
      <c r="H79" s="242" t="s">
        <v>1960</v>
      </c>
      <c r="I79" s="201" t="s">
        <v>2550</v>
      </c>
      <c r="J79" s="202" t="s">
        <v>2551</v>
      </c>
      <c r="K79" s="201" t="s">
        <v>1961</v>
      </c>
      <c r="L79" s="201" t="s">
        <v>1962</v>
      </c>
      <c r="M79" s="154" t="s">
        <v>2024</v>
      </c>
      <c r="N79" s="43" t="s">
        <v>908</v>
      </c>
      <c r="P79" s="211" t="s">
        <v>95</v>
      </c>
      <c r="Q79" s="1" t="s">
        <v>93</v>
      </c>
      <c r="R79" s="315"/>
      <c r="S79" s="319"/>
      <c r="U79" s="59" t="s">
        <v>2251</v>
      </c>
      <c r="V79" s="60" t="s">
        <v>540</v>
      </c>
    </row>
    <row r="80" spans="1:22" x14ac:dyDescent="0.2">
      <c r="A80" s="222" t="s">
        <v>338</v>
      </c>
      <c r="B80" s="223" t="s">
        <v>177</v>
      </c>
      <c r="C80" s="223" t="s">
        <v>291</v>
      </c>
      <c r="D80" s="217"/>
      <c r="E80" s="223" t="s">
        <v>177</v>
      </c>
      <c r="F80" s="224" t="s">
        <v>837</v>
      </c>
      <c r="H80" s="242" t="s">
        <v>1199</v>
      </c>
      <c r="I80" s="201" t="s">
        <v>1200</v>
      </c>
      <c r="J80" s="201" t="s">
        <v>1201</v>
      </c>
      <c r="K80" s="201" t="s">
        <v>1202</v>
      </c>
      <c r="L80" s="201" t="s">
        <v>1203</v>
      </c>
      <c r="M80" s="154" t="s">
        <v>2024</v>
      </c>
      <c r="N80" s="43" t="s">
        <v>908</v>
      </c>
      <c r="P80" s="211" t="s">
        <v>94</v>
      </c>
      <c r="Q80" s="1" t="s">
        <v>93</v>
      </c>
      <c r="R80" s="315"/>
      <c r="S80" s="319"/>
      <c r="U80" s="16" t="s">
        <v>534</v>
      </c>
      <c r="V80" s="17" t="s">
        <v>533</v>
      </c>
    </row>
    <row r="81" spans="1:22" x14ac:dyDescent="0.2">
      <c r="A81" s="222" t="s">
        <v>333</v>
      </c>
      <c r="B81" s="223" t="s">
        <v>332</v>
      </c>
      <c r="C81" s="223" t="s">
        <v>291</v>
      </c>
      <c r="D81" s="217" t="s">
        <v>334</v>
      </c>
      <c r="E81" s="223" t="s">
        <v>332</v>
      </c>
      <c r="F81" s="224" t="s">
        <v>838</v>
      </c>
      <c r="H81" s="242" t="s">
        <v>345</v>
      </c>
      <c r="I81" s="201" t="s">
        <v>344</v>
      </c>
      <c r="J81" s="201" t="s">
        <v>343</v>
      </c>
      <c r="K81" s="201" t="s">
        <v>342</v>
      </c>
      <c r="L81" s="201" t="s">
        <v>341</v>
      </c>
      <c r="M81" s="154" t="s">
        <v>2024</v>
      </c>
      <c r="N81" s="43" t="s">
        <v>908</v>
      </c>
      <c r="P81" s="211" t="s">
        <v>105</v>
      </c>
      <c r="Q81" s="1" t="s">
        <v>93</v>
      </c>
      <c r="R81" s="315"/>
      <c r="S81" s="319"/>
      <c r="U81" s="16" t="s">
        <v>527</v>
      </c>
      <c r="V81" s="17" t="s">
        <v>526</v>
      </c>
    </row>
    <row r="82" spans="1:22" x14ac:dyDescent="0.2">
      <c r="A82" s="222" t="s">
        <v>328</v>
      </c>
      <c r="B82" s="223" t="s">
        <v>327</v>
      </c>
      <c r="C82" s="223" t="s">
        <v>291</v>
      </c>
      <c r="D82" s="217"/>
      <c r="E82" s="223" t="s">
        <v>327</v>
      </c>
      <c r="F82" s="224" t="s">
        <v>229</v>
      </c>
      <c r="H82" s="242" t="s">
        <v>148</v>
      </c>
      <c r="I82" s="201" t="s">
        <v>147</v>
      </c>
      <c r="J82" s="201" t="s">
        <v>146</v>
      </c>
      <c r="K82" s="201" t="s">
        <v>145</v>
      </c>
      <c r="L82" s="201" t="s">
        <v>144</v>
      </c>
      <c r="M82" s="154" t="s">
        <v>2024</v>
      </c>
      <c r="N82" s="43" t="s">
        <v>908</v>
      </c>
      <c r="P82" s="211" t="s">
        <v>103</v>
      </c>
      <c r="Q82" s="1" t="s">
        <v>93</v>
      </c>
      <c r="R82" s="315"/>
      <c r="S82" s="319"/>
      <c r="U82" s="16" t="s">
        <v>520</v>
      </c>
      <c r="V82" s="17" t="s">
        <v>519</v>
      </c>
    </row>
    <row r="83" spans="1:22" x14ac:dyDescent="0.2">
      <c r="A83" s="222" t="s">
        <v>2381</v>
      </c>
      <c r="B83" s="223" t="s">
        <v>317</v>
      </c>
      <c r="C83" s="223" t="s">
        <v>291</v>
      </c>
      <c r="D83" s="217"/>
      <c r="E83" s="223" t="s">
        <v>317</v>
      </c>
      <c r="F83" s="224" t="s">
        <v>275</v>
      </c>
      <c r="H83" s="242" t="s">
        <v>155</v>
      </c>
      <c r="I83" s="201" t="s">
        <v>154</v>
      </c>
      <c r="J83" s="201" t="s">
        <v>153</v>
      </c>
      <c r="K83" s="201" t="s">
        <v>152</v>
      </c>
      <c r="L83" s="201" t="s">
        <v>151</v>
      </c>
      <c r="M83" s="154" t="s">
        <v>2024</v>
      </c>
      <c r="N83" s="43" t="s">
        <v>908</v>
      </c>
      <c r="P83" s="211" t="s">
        <v>92</v>
      </c>
      <c r="Q83" s="213" t="s">
        <v>91</v>
      </c>
      <c r="R83" s="315"/>
      <c r="S83" s="319"/>
      <c r="U83" s="16" t="s">
        <v>516</v>
      </c>
      <c r="V83" s="17" t="s">
        <v>515</v>
      </c>
    </row>
    <row r="84" spans="1:22" x14ac:dyDescent="0.2">
      <c r="A84" s="222" t="s">
        <v>2340</v>
      </c>
      <c r="B84" s="223" t="s">
        <v>2341</v>
      </c>
      <c r="C84" s="223" t="s">
        <v>291</v>
      </c>
      <c r="D84" s="217"/>
      <c r="E84" s="223" t="s">
        <v>840</v>
      </c>
      <c r="F84" s="224" t="s">
        <v>329</v>
      </c>
      <c r="H84" s="242" t="s">
        <v>1184</v>
      </c>
      <c r="I84" s="201" t="s">
        <v>1185</v>
      </c>
      <c r="J84" s="201" t="s">
        <v>1186</v>
      </c>
      <c r="K84" s="201" t="s">
        <v>1187</v>
      </c>
      <c r="L84" s="201" t="s">
        <v>1188</v>
      </c>
      <c r="M84" s="154" t="s">
        <v>2024</v>
      </c>
      <c r="N84" s="43" t="s">
        <v>908</v>
      </c>
      <c r="P84" s="211" t="s">
        <v>100</v>
      </c>
      <c r="Q84" s="1" t="s">
        <v>93</v>
      </c>
      <c r="R84" s="315"/>
      <c r="S84" s="319"/>
      <c r="U84" s="16" t="s">
        <v>508</v>
      </c>
      <c r="V84" s="17" t="s">
        <v>507</v>
      </c>
    </row>
    <row r="85" spans="1:22" x14ac:dyDescent="0.2">
      <c r="A85" s="222" t="s">
        <v>2342</v>
      </c>
      <c r="B85" s="223" t="s">
        <v>2343</v>
      </c>
      <c r="C85" s="223" t="s">
        <v>291</v>
      </c>
      <c r="D85" s="217"/>
      <c r="E85" s="223" t="s">
        <v>841</v>
      </c>
      <c r="F85" s="224" t="s">
        <v>842</v>
      </c>
      <c r="H85" s="242" t="s">
        <v>1963</v>
      </c>
      <c r="I85" s="202" t="s">
        <v>2552</v>
      </c>
      <c r="J85" s="202" t="s">
        <v>2553</v>
      </c>
      <c r="K85" s="202" t="s">
        <v>2554</v>
      </c>
      <c r="L85" s="202" t="s">
        <v>2555</v>
      </c>
      <c r="M85" s="154" t="s">
        <v>2024</v>
      </c>
      <c r="N85" s="43" t="s">
        <v>908</v>
      </c>
      <c r="P85" s="211" t="s">
        <v>102</v>
      </c>
      <c r="Q85" s="1" t="s">
        <v>93</v>
      </c>
      <c r="R85" s="315"/>
      <c r="S85" s="319"/>
      <c r="U85" s="20" t="s">
        <v>196</v>
      </c>
      <c r="V85" s="19" t="s">
        <v>318</v>
      </c>
    </row>
    <row r="86" spans="1:22" x14ac:dyDescent="0.2">
      <c r="A86" s="228" t="s">
        <v>2404</v>
      </c>
      <c r="B86" s="223" t="s">
        <v>2405</v>
      </c>
      <c r="C86" s="223" t="s">
        <v>291</v>
      </c>
      <c r="D86" s="223"/>
      <c r="E86" s="223" t="s">
        <v>2406</v>
      </c>
      <c r="F86" s="224" t="s">
        <v>2407</v>
      </c>
      <c r="H86" s="242" t="s">
        <v>141</v>
      </c>
      <c r="I86" s="202" t="s">
        <v>2556</v>
      </c>
      <c r="J86" s="201" t="s">
        <v>140</v>
      </c>
      <c r="K86" s="201" t="s">
        <v>139</v>
      </c>
      <c r="L86" s="201" t="s">
        <v>138</v>
      </c>
      <c r="M86" s="154" t="s">
        <v>2024</v>
      </c>
      <c r="N86" s="43" t="s">
        <v>908</v>
      </c>
      <c r="P86" s="211" t="s">
        <v>98</v>
      </c>
      <c r="Q86" s="1" t="s">
        <v>93</v>
      </c>
      <c r="R86" s="315" t="s">
        <v>1816</v>
      </c>
      <c r="S86" s="319" t="s">
        <v>133</v>
      </c>
    </row>
    <row r="87" spans="1:22" x14ac:dyDescent="0.2">
      <c r="A87" s="222" t="s">
        <v>2344</v>
      </c>
      <c r="B87" s="223" t="s">
        <v>2345</v>
      </c>
      <c r="C87" s="223" t="s">
        <v>291</v>
      </c>
      <c r="D87" s="217"/>
      <c r="E87" s="223" t="s">
        <v>843</v>
      </c>
      <c r="F87" s="224" t="s">
        <v>844</v>
      </c>
      <c r="H87" s="242" t="s">
        <v>1204</v>
      </c>
      <c r="I87" s="201" t="s">
        <v>1205</v>
      </c>
      <c r="J87" s="201" t="s">
        <v>1206</v>
      </c>
      <c r="K87" s="201" t="s">
        <v>1207</v>
      </c>
      <c r="L87" s="201" t="s">
        <v>1208</v>
      </c>
      <c r="M87" s="154" t="s">
        <v>2024</v>
      </c>
      <c r="N87" s="43" t="s">
        <v>908</v>
      </c>
      <c r="P87" s="211" t="s">
        <v>96</v>
      </c>
      <c r="Q87" s="1" t="s">
        <v>93</v>
      </c>
      <c r="R87" s="315"/>
      <c r="S87" s="319"/>
    </row>
    <row r="88" spans="1:22" x14ac:dyDescent="0.2">
      <c r="A88" s="222" t="s">
        <v>2346</v>
      </c>
      <c r="B88" s="223" t="s">
        <v>2347</v>
      </c>
      <c r="C88" s="223" t="s">
        <v>291</v>
      </c>
      <c r="D88" s="217" t="s">
        <v>1843</v>
      </c>
      <c r="E88" s="223" t="s">
        <v>845</v>
      </c>
      <c r="F88" s="224" t="s">
        <v>846</v>
      </c>
      <c r="H88" s="242" t="s">
        <v>1209</v>
      </c>
      <c r="I88" s="201" t="s">
        <v>1210</v>
      </c>
      <c r="J88" s="201" t="s">
        <v>1211</v>
      </c>
      <c r="K88" s="202" t="s">
        <v>1212</v>
      </c>
      <c r="L88" s="201" t="s">
        <v>1213</v>
      </c>
      <c r="M88" s="154" t="s">
        <v>2024</v>
      </c>
      <c r="N88" s="43" t="s">
        <v>908</v>
      </c>
      <c r="P88" s="211" t="s">
        <v>95</v>
      </c>
      <c r="Q88" s="1" t="s">
        <v>93</v>
      </c>
      <c r="R88" s="315"/>
      <c r="S88" s="319"/>
    </row>
    <row r="89" spans="1:22" x14ac:dyDescent="0.2">
      <c r="A89" s="222" t="s">
        <v>313</v>
      </c>
      <c r="B89" s="223" t="s">
        <v>313</v>
      </c>
      <c r="C89" s="223" t="s">
        <v>291</v>
      </c>
      <c r="D89" s="217" t="s">
        <v>314</v>
      </c>
      <c r="E89" s="223" t="s">
        <v>313</v>
      </c>
      <c r="F89" s="224" t="s">
        <v>839</v>
      </c>
      <c r="H89" s="242" t="s">
        <v>1214</v>
      </c>
      <c r="I89" s="201" t="s">
        <v>1215</v>
      </c>
      <c r="J89" s="201" t="s">
        <v>1216</v>
      </c>
      <c r="K89" s="201" t="s">
        <v>1217</v>
      </c>
      <c r="L89" s="202" t="s">
        <v>1218</v>
      </c>
      <c r="M89" s="154" t="s">
        <v>2024</v>
      </c>
      <c r="N89" s="43" t="s">
        <v>908</v>
      </c>
      <c r="P89" s="211" t="s">
        <v>94</v>
      </c>
      <c r="Q89" s="1" t="s">
        <v>93</v>
      </c>
      <c r="R89" s="315"/>
      <c r="S89" s="319"/>
    </row>
    <row r="90" spans="1:22" x14ac:dyDescent="0.2">
      <c r="A90" s="222" t="s">
        <v>300</v>
      </c>
      <c r="B90" s="223" t="s">
        <v>299</v>
      </c>
      <c r="C90" s="223" t="s">
        <v>291</v>
      </c>
      <c r="D90" s="217"/>
      <c r="E90" s="223" t="s">
        <v>299</v>
      </c>
      <c r="F90" s="224" t="s">
        <v>847</v>
      </c>
      <c r="H90" s="242" t="s">
        <v>1219</v>
      </c>
      <c r="I90" s="201" t="s">
        <v>1220</v>
      </c>
      <c r="J90" s="201" t="s">
        <v>1221</v>
      </c>
      <c r="K90" s="201"/>
      <c r="L90" s="201"/>
      <c r="M90" s="154" t="s">
        <v>2024</v>
      </c>
      <c r="N90" s="43" t="s">
        <v>908</v>
      </c>
      <c r="P90" s="211" t="s">
        <v>105</v>
      </c>
      <c r="Q90" s="1" t="s">
        <v>93</v>
      </c>
      <c r="R90" s="315"/>
      <c r="S90" s="319"/>
    </row>
    <row r="91" spans="1:22" x14ac:dyDescent="0.2">
      <c r="A91" s="222" t="s">
        <v>290</v>
      </c>
      <c r="B91" s="223" t="s">
        <v>289</v>
      </c>
      <c r="C91" s="223" t="s">
        <v>291</v>
      </c>
      <c r="D91" s="217" t="s">
        <v>2408</v>
      </c>
      <c r="E91" s="223" t="s">
        <v>289</v>
      </c>
      <c r="F91" s="224" t="s">
        <v>849</v>
      </c>
      <c r="H91" s="248" t="s">
        <v>1964</v>
      </c>
      <c r="I91" s="201" t="s">
        <v>1965</v>
      </c>
      <c r="J91" s="201" t="s">
        <v>1966</v>
      </c>
      <c r="K91" s="201" t="s">
        <v>1967</v>
      </c>
      <c r="L91" s="201" t="s">
        <v>1968</v>
      </c>
      <c r="M91" s="154" t="s">
        <v>2024</v>
      </c>
      <c r="N91" s="43" t="s">
        <v>908</v>
      </c>
      <c r="P91" s="211" t="s">
        <v>103</v>
      </c>
      <c r="Q91" s="1" t="s">
        <v>93</v>
      </c>
      <c r="R91" s="315"/>
      <c r="S91" s="319"/>
    </row>
    <row r="92" spans="1:22" x14ac:dyDescent="0.2">
      <c r="A92" s="222" t="s">
        <v>2348</v>
      </c>
      <c r="B92" s="223" t="s">
        <v>2349</v>
      </c>
      <c r="C92" s="223" t="s">
        <v>291</v>
      </c>
      <c r="D92" s="227"/>
      <c r="E92" s="223" t="s">
        <v>2350</v>
      </c>
      <c r="F92" s="224" t="s">
        <v>811</v>
      </c>
      <c r="H92" s="248" t="s">
        <v>1969</v>
      </c>
      <c r="I92" s="201" t="s">
        <v>2557</v>
      </c>
      <c r="J92" s="201" t="s">
        <v>1970</v>
      </c>
      <c r="K92" s="201" t="s">
        <v>1971</v>
      </c>
      <c r="L92" s="201" t="s">
        <v>1972</v>
      </c>
      <c r="M92" s="154" t="s">
        <v>2024</v>
      </c>
      <c r="N92" s="43" t="s">
        <v>908</v>
      </c>
      <c r="P92" s="211" t="s">
        <v>92</v>
      </c>
      <c r="Q92" s="213" t="s">
        <v>91</v>
      </c>
      <c r="R92" s="315"/>
      <c r="S92" s="319"/>
    </row>
    <row r="93" spans="1:22" x14ac:dyDescent="0.2">
      <c r="A93" s="229" t="s">
        <v>288</v>
      </c>
      <c r="B93" s="230" t="s">
        <v>287</v>
      </c>
      <c r="C93" s="230" t="s">
        <v>259</v>
      </c>
      <c r="D93" s="231"/>
      <c r="E93" s="230" t="s">
        <v>287</v>
      </c>
      <c r="F93" s="232" t="s">
        <v>850</v>
      </c>
      <c r="H93" s="242" t="s">
        <v>256</v>
      </c>
      <c r="I93" s="201" t="s">
        <v>255</v>
      </c>
      <c r="J93" s="201" t="s">
        <v>254</v>
      </c>
      <c r="K93" s="201" t="s">
        <v>253</v>
      </c>
      <c r="L93" s="201" t="s">
        <v>252</v>
      </c>
      <c r="M93" s="154" t="s">
        <v>2024</v>
      </c>
      <c r="N93" s="43" t="s">
        <v>908</v>
      </c>
      <c r="P93" s="211" t="s">
        <v>100</v>
      </c>
      <c r="Q93" s="1" t="s">
        <v>93</v>
      </c>
      <c r="R93" s="315"/>
      <c r="S93" s="319"/>
    </row>
    <row r="94" spans="1:22" x14ac:dyDescent="0.2">
      <c r="A94" s="222" t="s">
        <v>283</v>
      </c>
      <c r="B94" s="223" t="s">
        <v>282</v>
      </c>
      <c r="C94" s="223" t="s">
        <v>259</v>
      </c>
      <c r="D94" s="217"/>
      <c r="E94" s="223" t="s">
        <v>851</v>
      </c>
      <c r="F94" s="224" t="s">
        <v>284</v>
      </c>
      <c r="H94" s="242" t="s">
        <v>272</v>
      </c>
      <c r="I94" s="201" t="s">
        <v>271</v>
      </c>
      <c r="J94" s="201" t="s">
        <v>270</v>
      </c>
      <c r="K94" s="201" t="s">
        <v>269</v>
      </c>
      <c r="L94" s="201" t="s">
        <v>268</v>
      </c>
      <c r="M94" s="154" t="s">
        <v>2024</v>
      </c>
      <c r="N94" s="43" t="s">
        <v>908</v>
      </c>
      <c r="P94" s="211" t="s">
        <v>102</v>
      </c>
      <c r="Q94" s="1" t="s">
        <v>93</v>
      </c>
      <c r="R94" s="315"/>
      <c r="S94" s="319"/>
    </row>
    <row r="95" spans="1:22" x14ac:dyDescent="0.2">
      <c r="A95" s="222" t="s">
        <v>171</v>
      </c>
      <c r="B95" s="223" t="s">
        <v>170</v>
      </c>
      <c r="C95" s="223" t="s">
        <v>259</v>
      </c>
      <c r="D95" s="217"/>
      <c r="E95" s="223" t="s">
        <v>170</v>
      </c>
      <c r="F95" s="224" t="s">
        <v>879</v>
      </c>
      <c r="H95" s="242" t="s">
        <v>281</v>
      </c>
      <c r="I95" s="201" t="s">
        <v>280</v>
      </c>
      <c r="J95" s="201" t="s">
        <v>279</v>
      </c>
      <c r="K95" s="201" t="s">
        <v>278</v>
      </c>
      <c r="L95" s="201" t="s">
        <v>277</v>
      </c>
      <c r="M95" s="154" t="s">
        <v>2024</v>
      </c>
      <c r="N95" s="43" t="s">
        <v>908</v>
      </c>
      <c r="P95" s="211" t="s">
        <v>105</v>
      </c>
      <c r="Q95" s="1" t="s">
        <v>93</v>
      </c>
      <c r="R95" s="315" t="s">
        <v>2623</v>
      </c>
      <c r="S95" s="319" t="s">
        <v>2412</v>
      </c>
    </row>
    <row r="96" spans="1:22" x14ac:dyDescent="0.2">
      <c r="A96" s="233" t="s">
        <v>258</v>
      </c>
      <c r="B96" s="234" t="s">
        <v>257</v>
      </c>
      <c r="C96" s="234" t="s">
        <v>259</v>
      </c>
      <c r="D96" s="235"/>
      <c r="E96" s="234" t="s">
        <v>257</v>
      </c>
      <c r="F96" s="236" t="s">
        <v>854</v>
      </c>
      <c r="H96" s="242" t="s">
        <v>400</v>
      </c>
      <c r="I96" s="201" t="s">
        <v>399</v>
      </c>
      <c r="J96" s="201" t="s">
        <v>398</v>
      </c>
      <c r="K96" s="201" t="s">
        <v>397</v>
      </c>
      <c r="L96" s="201" t="s">
        <v>396</v>
      </c>
      <c r="M96" s="154" t="s">
        <v>2024</v>
      </c>
      <c r="N96" s="43" t="s">
        <v>908</v>
      </c>
      <c r="P96" s="211" t="s">
        <v>103</v>
      </c>
      <c r="Q96" s="1" t="s">
        <v>93</v>
      </c>
      <c r="R96" s="315"/>
      <c r="S96" s="319"/>
    </row>
    <row r="97" spans="1:19" x14ac:dyDescent="0.2">
      <c r="A97" s="222" t="s">
        <v>1848</v>
      </c>
      <c r="B97" s="223" t="s">
        <v>1849</v>
      </c>
      <c r="C97" s="223" t="s">
        <v>111</v>
      </c>
      <c r="D97" s="217"/>
      <c r="E97" s="223" t="s">
        <v>1849</v>
      </c>
      <c r="F97" s="224" t="s">
        <v>1850</v>
      </c>
      <c r="H97" s="246" t="s">
        <v>2558</v>
      </c>
      <c r="I97" s="202" t="s">
        <v>2559</v>
      </c>
      <c r="J97" s="201" t="s">
        <v>2560</v>
      </c>
      <c r="K97" s="201" t="s">
        <v>2561</v>
      </c>
      <c r="L97" s="201" t="s">
        <v>2562</v>
      </c>
      <c r="M97" s="154" t="s">
        <v>2024</v>
      </c>
      <c r="N97" s="155" t="s">
        <v>910</v>
      </c>
      <c r="P97" s="211" t="s">
        <v>92</v>
      </c>
      <c r="Q97" s="213" t="s">
        <v>91</v>
      </c>
      <c r="R97" s="315"/>
      <c r="S97" s="319"/>
    </row>
    <row r="98" spans="1:19" x14ac:dyDescent="0.2">
      <c r="A98" s="222" t="s">
        <v>247</v>
      </c>
      <c r="B98" s="223" t="s">
        <v>246</v>
      </c>
      <c r="C98" s="223" t="s">
        <v>111</v>
      </c>
      <c r="D98" s="217"/>
      <c r="E98" s="223" t="s">
        <v>246</v>
      </c>
      <c r="F98" s="224" t="s">
        <v>855</v>
      </c>
      <c r="H98" s="246" t="s">
        <v>245</v>
      </c>
      <c r="I98" s="201" t="s">
        <v>244</v>
      </c>
      <c r="J98" s="201" t="s">
        <v>2563</v>
      </c>
      <c r="K98" s="201" t="s">
        <v>2564</v>
      </c>
      <c r="L98" s="202" t="s">
        <v>2565</v>
      </c>
      <c r="M98" s="154" t="s">
        <v>2024</v>
      </c>
      <c r="N98" s="155" t="s">
        <v>910</v>
      </c>
      <c r="P98" s="211" t="s">
        <v>102</v>
      </c>
      <c r="Q98" s="1" t="s">
        <v>93</v>
      </c>
      <c r="R98" s="315"/>
      <c r="S98" s="319"/>
    </row>
    <row r="99" spans="1:19" x14ac:dyDescent="0.2">
      <c r="A99" s="222" t="s">
        <v>240</v>
      </c>
      <c r="B99" s="223" t="s">
        <v>239</v>
      </c>
      <c r="C99" s="223" t="s">
        <v>111</v>
      </c>
      <c r="D99" s="217"/>
      <c r="E99" s="223" t="s">
        <v>239</v>
      </c>
      <c r="F99" s="224" t="s">
        <v>856</v>
      </c>
      <c r="H99" s="242" t="s">
        <v>415</v>
      </c>
      <c r="I99" s="201" t="s">
        <v>414</v>
      </c>
      <c r="J99" s="201" t="s">
        <v>2566</v>
      </c>
      <c r="K99" s="201" t="s">
        <v>2567</v>
      </c>
      <c r="L99" s="201" t="s">
        <v>2568</v>
      </c>
      <c r="M99" s="154" t="s">
        <v>2024</v>
      </c>
      <c r="N99" s="155" t="s">
        <v>910</v>
      </c>
      <c r="P99" s="211" t="s">
        <v>98</v>
      </c>
      <c r="Q99" s="1" t="s">
        <v>93</v>
      </c>
      <c r="R99" s="315" t="s">
        <v>2624</v>
      </c>
      <c r="S99" s="319"/>
    </row>
    <row r="100" spans="1:19" x14ac:dyDescent="0.2">
      <c r="A100" s="222" t="s">
        <v>236</v>
      </c>
      <c r="B100" s="223" t="s">
        <v>235</v>
      </c>
      <c r="C100" s="223" t="s">
        <v>111</v>
      </c>
      <c r="D100" s="217"/>
      <c r="E100" s="223" t="s">
        <v>235</v>
      </c>
      <c r="F100" s="224" t="s">
        <v>857</v>
      </c>
      <c r="H100" s="242" t="s">
        <v>1222</v>
      </c>
      <c r="I100" s="201" t="s">
        <v>1223</v>
      </c>
      <c r="J100" s="201" t="s">
        <v>2569</v>
      </c>
      <c r="K100" s="201" t="s">
        <v>2570</v>
      </c>
      <c r="L100" s="201" t="s">
        <v>2571</v>
      </c>
      <c r="M100" s="154" t="s">
        <v>2024</v>
      </c>
      <c r="N100" s="155" t="s">
        <v>909</v>
      </c>
      <c r="P100" s="211" t="s">
        <v>96</v>
      </c>
      <c r="Q100" s="1" t="s">
        <v>93</v>
      </c>
      <c r="R100" s="315"/>
      <c r="S100" s="319"/>
    </row>
    <row r="101" spans="1:19" x14ac:dyDescent="0.2">
      <c r="A101" s="222" t="s">
        <v>231</v>
      </c>
      <c r="B101" s="223" t="s">
        <v>230</v>
      </c>
      <c r="C101" s="223" t="s">
        <v>111</v>
      </c>
      <c r="D101" s="217"/>
      <c r="E101" s="223" t="s">
        <v>230</v>
      </c>
      <c r="F101" s="224" t="s">
        <v>858</v>
      </c>
      <c r="H101" s="242" t="s">
        <v>393</v>
      </c>
      <c r="I101" s="201" t="s">
        <v>392</v>
      </c>
      <c r="J101" s="201" t="s">
        <v>2572</v>
      </c>
      <c r="K101" s="201" t="s">
        <v>2573</v>
      </c>
      <c r="L101" s="201" t="s">
        <v>2574</v>
      </c>
      <c r="M101" s="154" t="s">
        <v>2024</v>
      </c>
      <c r="N101" s="155" t="s">
        <v>909</v>
      </c>
      <c r="P101" s="211" t="s">
        <v>95</v>
      </c>
      <c r="Q101" s="1" t="s">
        <v>93</v>
      </c>
      <c r="R101" s="315"/>
      <c r="S101" s="319"/>
    </row>
    <row r="102" spans="1:19" x14ac:dyDescent="0.2">
      <c r="A102" s="222" t="s">
        <v>1851</v>
      </c>
      <c r="B102" s="223" t="s">
        <v>1852</v>
      </c>
      <c r="C102" s="223" t="s">
        <v>111</v>
      </c>
      <c r="D102" s="217"/>
      <c r="E102" s="223" t="s">
        <v>1852</v>
      </c>
      <c r="F102" s="224" t="s">
        <v>1853</v>
      </c>
      <c r="H102" s="242" t="s">
        <v>286</v>
      </c>
      <c r="I102" s="201" t="s">
        <v>285</v>
      </c>
      <c r="J102" s="201" t="s">
        <v>2575</v>
      </c>
      <c r="K102" s="201" t="s">
        <v>2576</v>
      </c>
      <c r="L102" s="201" t="s">
        <v>2577</v>
      </c>
      <c r="M102" s="154" t="s">
        <v>2024</v>
      </c>
      <c r="N102" s="155" t="s">
        <v>909</v>
      </c>
      <c r="P102" s="211" t="s">
        <v>94</v>
      </c>
      <c r="Q102" s="1" t="s">
        <v>93</v>
      </c>
      <c r="R102" s="315"/>
      <c r="S102" s="319"/>
    </row>
    <row r="103" spans="1:19" x14ac:dyDescent="0.2">
      <c r="A103" s="222" t="s">
        <v>228</v>
      </c>
      <c r="B103" s="223" t="s">
        <v>227</v>
      </c>
      <c r="C103" s="223" t="s">
        <v>111</v>
      </c>
      <c r="D103" s="217"/>
      <c r="E103" s="223" t="s">
        <v>227</v>
      </c>
      <c r="F103" s="224" t="s">
        <v>859</v>
      </c>
      <c r="H103" s="242" t="s">
        <v>1224</v>
      </c>
      <c r="I103" s="201" t="s">
        <v>1225</v>
      </c>
      <c r="J103" s="201" t="s">
        <v>2578</v>
      </c>
      <c r="K103" s="201" t="s">
        <v>2579</v>
      </c>
      <c r="L103" s="201" t="s">
        <v>2580</v>
      </c>
      <c r="M103" s="154" t="s">
        <v>2024</v>
      </c>
      <c r="N103" s="155" t="s">
        <v>909</v>
      </c>
      <c r="P103" s="211" t="s">
        <v>100</v>
      </c>
      <c r="Q103" s="1" t="s">
        <v>93</v>
      </c>
      <c r="R103" s="315"/>
      <c r="S103" s="319"/>
    </row>
    <row r="104" spans="1:19" x14ac:dyDescent="0.2">
      <c r="A104" s="222" t="s">
        <v>225</v>
      </c>
      <c r="B104" s="223" t="s">
        <v>224</v>
      </c>
      <c r="C104" s="223" t="s">
        <v>111</v>
      </c>
      <c r="D104" s="217"/>
      <c r="E104" s="223" t="s">
        <v>224</v>
      </c>
      <c r="F104" s="224" t="s">
        <v>860</v>
      </c>
      <c r="H104" s="242" t="s">
        <v>2025</v>
      </c>
      <c r="I104" s="202" t="s">
        <v>2581</v>
      </c>
      <c r="J104" s="202" t="s">
        <v>2582</v>
      </c>
      <c r="K104" s="202" t="s">
        <v>2583</v>
      </c>
      <c r="L104" s="202" t="s">
        <v>2584</v>
      </c>
      <c r="M104" s="249" t="s">
        <v>2024</v>
      </c>
      <c r="N104" s="250" t="s">
        <v>2585</v>
      </c>
      <c r="P104" s="211" t="s">
        <v>105</v>
      </c>
      <c r="Q104" s="1" t="s">
        <v>93</v>
      </c>
      <c r="R104" s="315" t="s">
        <v>108</v>
      </c>
      <c r="S104" s="319" t="s">
        <v>107</v>
      </c>
    </row>
    <row r="105" spans="1:19" x14ac:dyDescent="0.2">
      <c r="A105" s="222" t="s">
        <v>221</v>
      </c>
      <c r="B105" s="223" t="s">
        <v>220</v>
      </c>
      <c r="C105" s="223" t="s">
        <v>111</v>
      </c>
      <c r="D105" s="217"/>
      <c r="E105" s="223" t="s">
        <v>220</v>
      </c>
      <c r="F105" s="224" t="s">
        <v>861</v>
      </c>
      <c r="H105" s="242" t="s">
        <v>1152</v>
      </c>
      <c r="I105" s="201" t="s">
        <v>1153</v>
      </c>
      <c r="J105" s="201" t="s">
        <v>1154</v>
      </c>
      <c r="K105" s="201" t="s">
        <v>1155</v>
      </c>
      <c r="L105" s="201" t="s">
        <v>1156</v>
      </c>
      <c r="M105" s="154" t="s">
        <v>2026</v>
      </c>
      <c r="N105" s="43" t="s">
        <v>908</v>
      </c>
      <c r="P105" s="211" t="s">
        <v>103</v>
      </c>
      <c r="Q105" s="1" t="s">
        <v>93</v>
      </c>
      <c r="R105" s="315"/>
      <c r="S105" s="319"/>
    </row>
    <row r="106" spans="1:19" x14ac:dyDescent="0.2">
      <c r="A106" s="222" t="s">
        <v>2235</v>
      </c>
      <c r="B106" s="223" t="s">
        <v>2236</v>
      </c>
      <c r="C106" s="223" t="s">
        <v>111</v>
      </c>
      <c r="D106" s="227"/>
      <c r="E106" s="223" t="s">
        <v>2236</v>
      </c>
      <c r="F106" s="224" t="s">
        <v>2237</v>
      </c>
      <c r="H106" s="242" t="s">
        <v>1162</v>
      </c>
      <c r="I106" s="201" t="s">
        <v>1163</v>
      </c>
      <c r="J106" s="201" t="s">
        <v>1164</v>
      </c>
      <c r="K106" s="201" t="s">
        <v>1165</v>
      </c>
      <c r="L106" s="201" t="s">
        <v>1166</v>
      </c>
      <c r="M106" s="154" t="s">
        <v>2026</v>
      </c>
      <c r="N106" s="43" t="s">
        <v>908</v>
      </c>
      <c r="P106" s="211" t="s">
        <v>92</v>
      </c>
      <c r="Q106" s="213" t="s">
        <v>91</v>
      </c>
      <c r="R106" s="315"/>
      <c r="S106" s="319"/>
    </row>
    <row r="107" spans="1:19" x14ac:dyDescent="0.2">
      <c r="A107" s="222" t="s">
        <v>1854</v>
      </c>
      <c r="B107" s="223" t="s">
        <v>1855</v>
      </c>
      <c r="C107" s="223" t="s">
        <v>111</v>
      </c>
      <c r="D107" s="217"/>
      <c r="E107" s="223" t="s">
        <v>1855</v>
      </c>
      <c r="F107" s="224" t="s">
        <v>1856</v>
      </c>
      <c r="H107" s="242" t="s">
        <v>1226</v>
      </c>
      <c r="I107" s="201" t="s">
        <v>1227</v>
      </c>
      <c r="J107" s="201" t="s">
        <v>1228</v>
      </c>
      <c r="K107" s="201" t="s">
        <v>1229</v>
      </c>
      <c r="L107" s="201" t="s">
        <v>1230</v>
      </c>
      <c r="M107" s="154" t="s">
        <v>2026</v>
      </c>
      <c r="N107" s="43" t="s">
        <v>908</v>
      </c>
      <c r="P107" s="211" t="s">
        <v>102</v>
      </c>
      <c r="Q107" s="1" t="s">
        <v>93</v>
      </c>
      <c r="R107" s="315"/>
      <c r="S107" s="319"/>
    </row>
    <row r="108" spans="1:19" x14ac:dyDescent="0.2">
      <c r="A108" s="222" t="s">
        <v>2000</v>
      </c>
      <c r="B108" s="223" t="s">
        <v>2001</v>
      </c>
      <c r="C108" s="223" t="s">
        <v>111</v>
      </c>
      <c r="D108" s="227"/>
      <c r="E108" s="223" t="s">
        <v>2001</v>
      </c>
      <c r="F108" s="224" t="s">
        <v>2002</v>
      </c>
      <c r="H108" s="242" t="s">
        <v>1231</v>
      </c>
      <c r="I108" s="201" t="s">
        <v>1232</v>
      </c>
      <c r="J108" s="201" t="s">
        <v>1233</v>
      </c>
      <c r="K108" s="201" t="s">
        <v>1234</v>
      </c>
      <c r="L108" s="201" t="s">
        <v>1235</v>
      </c>
      <c r="M108" s="154" t="s">
        <v>2026</v>
      </c>
      <c r="N108" s="43" t="s">
        <v>908</v>
      </c>
      <c r="P108" s="211" t="s">
        <v>98</v>
      </c>
      <c r="Q108" s="1" t="s">
        <v>93</v>
      </c>
      <c r="R108" s="315" t="s">
        <v>106</v>
      </c>
      <c r="S108" s="319"/>
    </row>
    <row r="109" spans="1:19" x14ac:dyDescent="0.2">
      <c r="A109" s="222" t="s">
        <v>218</v>
      </c>
      <c r="B109" s="223" t="s">
        <v>217</v>
      </c>
      <c r="C109" s="223" t="s">
        <v>111</v>
      </c>
      <c r="D109" s="217"/>
      <c r="E109" s="223" t="s">
        <v>217</v>
      </c>
      <c r="F109" s="224" t="s">
        <v>862</v>
      </c>
      <c r="H109" s="242" t="s">
        <v>1236</v>
      </c>
      <c r="I109" s="201" t="s">
        <v>1237</v>
      </c>
      <c r="J109" s="201" t="s">
        <v>1238</v>
      </c>
      <c r="K109" s="201" t="s">
        <v>1239</v>
      </c>
      <c r="L109" s="201" t="s">
        <v>1240</v>
      </c>
      <c r="M109" s="154" t="s">
        <v>2026</v>
      </c>
      <c r="N109" s="43" t="s">
        <v>908</v>
      </c>
      <c r="P109" s="211" t="s">
        <v>96</v>
      </c>
      <c r="Q109" s="1" t="s">
        <v>93</v>
      </c>
      <c r="R109" s="315"/>
      <c r="S109" s="319"/>
    </row>
    <row r="110" spans="1:19" x14ac:dyDescent="0.2">
      <c r="A110" s="222" t="s">
        <v>216</v>
      </c>
      <c r="B110" s="223" t="s">
        <v>215</v>
      </c>
      <c r="C110" s="223" t="s">
        <v>111</v>
      </c>
      <c r="D110" s="217"/>
      <c r="E110" s="223" t="s">
        <v>215</v>
      </c>
      <c r="F110" s="224" t="s">
        <v>863</v>
      </c>
      <c r="H110" s="242" t="s">
        <v>1241</v>
      </c>
      <c r="I110" s="201" t="s">
        <v>1242</v>
      </c>
      <c r="J110" s="201" t="s">
        <v>1243</v>
      </c>
      <c r="K110" s="201" t="s">
        <v>1244</v>
      </c>
      <c r="L110" s="201" t="s">
        <v>1245</v>
      </c>
      <c r="M110" s="154" t="s">
        <v>2026</v>
      </c>
      <c r="N110" s="43" t="s">
        <v>908</v>
      </c>
      <c r="P110" s="211" t="s">
        <v>95</v>
      </c>
      <c r="Q110" s="1" t="s">
        <v>93</v>
      </c>
      <c r="R110" s="315"/>
      <c r="S110" s="319"/>
    </row>
    <row r="111" spans="1:19" x14ac:dyDescent="0.2">
      <c r="A111" s="222" t="s">
        <v>212</v>
      </c>
      <c r="B111" s="223" t="s">
        <v>211</v>
      </c>
      <c r="C111" s="223" t="s">
        <v>111</v>
      </c>
      <c r="D111" s="217"/>
      <c r="E111" s="223" t="s">
        <v>211</v>
      </c>
      <c r="F111" s="224" t="s">
        <v>864</v>
      </c>
      <c r="H111" s="242" t="s">
        <v>1246</v>
      </c>
      <c r="I111" s="201" t="s">
        <v>1247</v>
      </c>
      <c r="J111" s="201" t="s">
        <v>1248</v>
      </c>
      <c r="K111" s="201" t="s">
        <v>1249</v>
      </c>
      <c r="L111" s="201" t="s">
        <v>1250</v>
      </c>
      <c r="M111" s="154" t="s">
        <v>2026</v>
      </c>
      <c r="N111" s="43" t="s">
        <v>908</v>
      </c>
      <c r="P111" s="211" t="s">
        <v>94</v>
      </c>
      <c r="Q111" s="1" t="s">
        <v>93</v>
      </c>
      <c r="R111" s="315"/>
      <c r="S111" s="319"/>
    </row>
    <row r="112" spans="1:19" x14ac:dyDescent="0.2">
      <c r="A112" s="222" t="s">
        <v>208</v>
      </c>
      <c r="B112" s="223" t="s">
        <v>207</v>
      </c>
      <c r="C112" s="223" t="s">
        <v>111</v>
      </c>
      <c r="D112" s="217"/>
      <c r="E112" s="223" t="s">
        <v>207</v>
      </c>
      <c r="F112" s="224" t="s">
        <v>865</v>
      </c>
      <c r="H112" s="242" t="s">
        <v>1251</v>
      </c>
      <c r="I112" s="201" t="s">
        <v>1252</v>
      </c>
      <c r="J112" s="201" t="s">
        <v>1253</v>
      </c>
      <c r="K112" s="201" t="s">
        <v>1254</v>
      </c>
      <c r="L112" s="201" t="s">
        <v>1255</v>
      </c>
      <c r="M112" s="154" t="s">
        <v>2026</v>
      </c>
      <c r="N112" s="43" t="s">
        <v>908</v>
      </c>
      <c r="P112" s="211" t="s">
        <v>100</v>
      </c>
      <c r="Q112" s="1" t="s">
        <v>93</v>
      </c>
      <c r="R112" s="315"/>
      <c r="S112" s="319"/>
    </row>
    <row r="113" spans="1:19" x14ac:dyDescent="0.2">
      <c r="A113" s="222" t="s">
        <v>204</v>
      </c>
      <c r="B113" s="223" t="s">
        <v>203</v>
      </c>
      <c r="C113" s="223" t="s">
        <v>259</v>
      </c>
      <c r="D113" s="217"/>
      <c r="E113" s="223" t="s">
        <v>203</v>
      </c>
      <c r="F113" s="224" t="s">
        <v>866</v>
      </c>
      <c r="H113" s="242" t="s">
        <v>1256</v>
      </c>
      <c r="I113" s="201" t="s">
        <v>1257</v>
      </c>
      <c r="J113" s="201" t="s">
        <v>1258</v>
      </c>
      <c r="K113" s="201" t="s">
        <v>1259</v>
      </c>
      <c r="L113" s="201" t="s">
        <v>1260</v>
      </c>
      <c r="M113" s="154" t="s">
        <v>2026</v>
      </c>
      <c r="N113" s="43" t="s">
        <v>908</v>
      </c>
      <c r="P113" s="211" t="s">
        <v>105</v>
      </c>
      <c r="Q113" s="1" t="s">
        <v>93</v>
      </c>
      <c r="R113" s="315" t="s">
        <v>104</v>
      </c>
      <c r="S113" s="316" t="s">
        <v>1817</v>
      </c>
    </row>
    <row r="114" spans="1:19" x14ac:dyDescent="0.2">
      <c r="A114" s="222" t="s">
        <v>202</v>
      </c>
      <c r="B114" s="223" t="s">
        <v>201</v>
      </c>
      <c r="C114" s="223" t="s">
        <v>111</v>
      </c>
      <c r="D114" s="217"/>
      <c r="E114" s="223" t="s">
        <v>201</v>
      </c>
      <c r="F114" s="224" t="s">
        <v>867</v>
      </c>
      <c r="H114" s="242" t="s">
        <v>1261</v>
      </c>
      <c r="I114" s="201" t="s">
        <v>1262</v>
      </c>
      <c r="J114" s="201" t="s">
        <v>1263</v>
      </c>
      <c r="K114" s="201" t="s">
        <v>1264</v>
      </c>
      <c r="L114" s="201" t="s">
        <v>1265</v>
      </c>
      <c r="M114" s="154" t="s">
        <v>2026</v>
      </c>
      <c r="N114" s="43" t="s">
        <v>908</v>
      </c>
      <c r="P114" s="211" t="s">
        <v>103</v>
      </c>
      <c r="Q114" s="1" t="s">
        <v>93</v>
      </c>
      <c r="R114" s="315"/>
      <c r="S114" s="316"/>
    </row>
    <row r="115" spans="1:19" x14ac:dyDescent="0.2">
      <c r="A115" s="222" t="s">
        <v>1857</v>
      </c>
      <c r="B115" s="223" t="s">
        <v>1858</v>
      </c>
      <c r="C115" s="223" t="s">
        <v>111</v>
      </c>
      <c r="D115" s="217"/>
      <c r="E115" s="223" t="s">
        <v>1858</v>
      </c>
      <c r="F115" s="224" t="s">
        <v>1859</v>
      </c>
      <c r="H115" s="242" t="s">
        <v>1266</v>
      </c>
      <c r="I115" s="201" t="s">
        <v>1267</v>
      </c>
      <c r="J115" s="201" t="s">
        <v>1268</v>
      </c>
      <c r="K115" s="201" t="s">
        <v>1269</v>
      </c>
      <c r="L115" s="201" t="s">
        <v>1270</v>
      </c>
      <c r="M115" s="154" t="s">
        <v>2026</v>
      </c>
      <c r="N115" s="43" t="s">
        <v>908</v>
      </c>
      <c r="P115" s="211" t="s">
        <v>98</v>
      </c>
      <c r="Q115" s="1" t="s">
        <v>93</v>
      </c>
      <c r="R115" s="315" t="s">
        <v>97</v>
      </c>
      <c r="S115" s="316"/>
    </row>
    <row r="116" spans="1:19" x14ac:dyDescent="0.2">
      <c r="A116" s="222" t="s">
        <v>2018</v>
      </c>
      <c r="B116" s="223" t="s">
        <v>2019</v>
      </c>
      <c r="C116" s="223" t="s">
        <v>111</v>
      </c>
      <c r="D116" s="217"/>
      <c r="E116" s="223" t="s">
        <v>2019</v>
      </c>
      <c r="F116" s="224" t="s">
        <v>2020</v>
      </c>
      <c r="H116" s="242" t="s">
        <v>1271</v>
      </c>
      <c r="I116" s="201" t="s">
        <v>1272</v>
      </c>
      <c r="J116" s="201" t="s">
        <v>1273</v>
      </c>
      <c r="K116" s="201" t="s">
        <v>1274</v>
      </c>
      <c r="L116" s="201" t="s">
        <v>1275</v>
      </c>
      <c r="M116" s="154" t="s">
        <v>2026</v>
      </c>
      <c r="N116" s="43" t="s">
        <v>908</v>
      </c>
      <c r="P116" s="211" t="s">
        <v>96</v>
      </c>
      <c r="Q116" s="1" t="s">
        <v>93</v>
      </c>
      <c r="R116" s="315"/>
      <c r="S116" s="316"/>
    </row>
    <row r="117" spans="1:19" x14ac:dyDescent="0.2">
      <c r="A117" s="222" t="s">
        <v>193</v>
      </c>
      <c r="B117" s="223" t="s">
        <v>192</v>
      </c>
      <c r="C117" s="223" t="s">
        <v>111</v>
      </c>
      <c r="D117" s="217"/>
      <c r="E117" s="223" t="s">
        <v>192</v>
      </c>
      <c r="F117" s="224" t="s">
        <v>870</v>
      </c>
      <c r="H117" s="242" t="s">
        <v>1276</v>
      </c>
      <c r="I117" s="201" t="s">
        <v>1277</v>
      </c>
      <c r="J117" s="201" t="s">
        <v>1278</v>
      </c>
      <c r="K117" s="201" t="s">
        <v>1279</v>
      </c>
      <c r="L117" s="202" t="s">
        <v>1280</v>
      </c>
      <c r="M117" s="154" t="s">
        <v>2026</v>
      </c>
      <c r="N117" s="43" t="s">
        <v>908</v>
      </c>
      <c r="P117" s="211" t="s">
        <v>95</v>
      </c>
      <c r="Q117" s="1" t="s">
        <v>93</v>
      </c>
      <c r="R117" s="315"/>
      <c r="S117" s="316"/>
    </row>
    <row r="118" spans="1:19" x14ac:dyDescent="0.2">
      <c r="A118" s="222" t="s">
        <v>191</v>
      </c>
      <c r="B118" s="223" t="s">
        <v>190</v>
      </c>
      <c r="C118" s="223" t="s">
        <v>111</v>
      </c>
      <c r="D118" s="217"/>
      <c r="E118" s="223" t="s">
        <v>190</v>
      </c>
      <c r="F118" s="224" t="s">
        <v>871</v>
      </c>
      <c r="H118" s="242" t="s">
        <v>1281</v>
      </c>
      <c r="I118" s="201" t="s">
        <v>1282</v>
      </c>
      <c r="J118" s="201" t="s">
        <v>1283</v>
      </c>
      <c r="K118" s="201" t="s">
        <v>1284</v>
      </c>
      <c r="L118" s="201" t="s">
        <v>1283</v>
      </c>
      <c r="M118" s="154" t="s">
        <v>2026</v>
      </c>
      <c r="N118" s="43" t="s">
        <v>908</v>
      </c>
      <c r="P118" s="211" t="s">
        <v>94</v>
      </c>
      <c r="Q118" s="1" t="s">
        <v>93</v>
      </c>
      <c r="R118" s="315"/>
      <c r="S118" s="316"/>
    </row>
    <row r="119" spans="1:19" x14ac:dyDescent="0.2">
      <c r="A119" s="222" t="s">
        <v>189</v>
      </c>
      <c r="B119" s="223" t="s">
        <v>188</v>
      </c>
      <c r="C119" s="223" t="s">
        <v>111</v>
      </c>
      <c r="D119" s="217"/>
      <c r="E119" s="223" t="s">
        <v>188</v>
      </c>
      <c r="F119" s="224" t="s">
        <v>872</v>
      </c>
      <c r="H119" s="242" t="s">
        <v>1285</v>
      </c>
      <c r="I119" s="201" t="s">
        <v>1286</v>
      </c>
      <c r="J119" s="201" t="s">
        <v>1287</v>
      </c>
      <c r="K119" s="201" t="s">
        <v>1288</v>
      </c>
      <c r="L119" s="201" t="s">
        <v>1289</v>
      </c>
      <c r="M119" s="154" t="s">
        <v>2026</v>
      </c>
      <c r="N119" s="43" t="s">
        <v>908</v>
      </c>
      <c r="P119" s="211" t="s">
        <v>102</v>
      </c>
      <c r="Q119" s="1" t="s">
        <v>93</v>
      </c>
      <c r="R119" s="212" t="s">
        <v>101</v>
      </c>
      <c r="S119" s="316"/>
    </row>
    <row r="120" spans="1:19" x14ac:dyDescent="0.2">
      <c r="A120" s="222" t="s">
        <v>187</v>
      </c>
      <c r="B120" s="223" t="s">
        <v>186</v>
      </c>
      <c r="C120" s="223" t="s">
        <v>111</v>
      </c>
      <c r="D120" s="217"/>
      <c r="E120" s="223" t="s">
        <v>186</v>
      </c>
      <c r="F120" s="224" t="s">
        <v>873</v>
      </c>
      <c r="H120" s="242" t="s">
        <v>1290</v>
      </c>
      <c r="I120" s="201" t="s">
        <v>1291</v>
      </c>
      <c r="J120" s="201" t="s">
        <v>1292</v>
      </c>
      <c r="K120" s="201" t="s">
        <v>1293</v>
      </c>
      <c r="L120" s="201" t="s">
        <v>1294</v>
      </c>
      <c r="M120" s="154" t="s">
        <v>2026</v>
      </c>
      <c r="N120" s="43" t="s">
        <v>908</v>
      </c>
      <c r="P120" s="211" t="s">
        <v>100</v>
      </c>
      <c r="Q120" s="1" t="s">
        <v>93</v>
      </c>
      <c r="R120" s="212" t="s">
        <v>99</v>
      </c>
      <c r="S120" s="316"/>
    </row>
    <row r="121" spans="1:19" x14ac:dyDescent="0.2">
      <c r="A121" s="222" t="s">
        <v>183</v>
      </c>
      <c r="B121" s="223" t="s">
        <v>182</v>
      </c>
      <c r="C121" s="223" t="s">
        <v>111</v>
      </c>
      <c r="D121" s="217"/>
      <c r="E121" s="223" t="s">
        <v>182</v>
      </c>
      <c r="F121" s="224" t="s">
        <v>874</v>
      </c>
      <c r="H121" s="242" t="s">
        <v>1295</v>
      </c>
      <c r="I121" s="201" t="s">
        <v>1296</v>
      </c>
      <c r="J121" s="202" t="s">
        <v>2586</v>
      </c>
      <c r="K121" s="201" t="s">
        <v>1297</v>
      </c>
      <c r="L121" s="201" t="s">
        <v>1298</v>
      </c>
      <c r="M121" s="154" t="s">
        <v>2026</v>
      </c>
      <c r="N121" s="43" t="s">
        <v>908</v>
      </c>
      <c r="P121" s="214" t="s">
        <v>92</v>
      </c>
      <c r="Q121" s="215" t="s">
        <v>91</v>
      </c>
      <c r="R121" s="216" t="s">
        <v>91</v>
      </c>
      <c r="S121" s="317"/>
    </row>
    <row r="122" spans="1:19" x14ac:dyDescent="0.2">
      <c r="A122" s="222" t="s">
        <v>1860</v>
      </c>
      <c r="B122" s="223" t="s">
        <v>1861</v>
      </c>
      <c r="C122" s="223" t="s">
        <v>111</v>
      </c>
      <c r="D122" s="217"/>
      <c r="E122" s="223" t="s">
        <v>1861</v>
      </c>
      <c r="F122" s="224" t="s">
        <v>1862</v>
      </c>
      <c r="H122" s="242" t="s">
        <v>1299</v>
      </c>
      <c r="I122" s="201" t="s">
        <v>1300</v>
      </c>
      <c r="J122" s="201" t="s">
        <v>1301</v>
      </c>
      <c r="K122" s="201" t="s">
        <v>1302</v>
      </c>
      <c r="L122" s="201" t="s">
        <v>1303</v>
      </c>
      <c r="M122" s="154" t="s">
        <v>2026</v>
      </c>
      <c r="N122" s="43" t="s">
        <v>908</v>
      </c>
    </row>
    <row r="123" spans="1:19" x14ac:dyDescent="0.2">
      <c r="A123" s="222" t="s">
        <v>179</v>
      </c>
      <c r="B123" s="223" t="s">
        <v>178</v>
      </c>
      <c r="C123" s="223" t="s">
        <v>111</v>
      </c>
      <c r="D123" s="217"/>
      <c r="E123" s="223" t="s">
        <v>178</v>
      </c>
      <c r="F123" s="224" t="s">
        <v>876</v>
      </c>
      <c r="H123" s="242" t="s">
        <v>1304</v>
      </c>
      <c r="I123" s="201" t="s">
        <v>1305</v>
      </c>
      <c r="J123" s="201" t="s">
        <v>1306</v>
      </c>
      <c r="K123" s="201" t="s">
        <v>1307</v>
      </c>
      <c r="L123" s="201" t="s">
        <v>1308</v>
      </c>
      <c r="M123" s="154" t="s">
        <v>2026</v>
      </c>
      <c r="N123" s="43" t="s">
        <v>908</v>
      </c>
    </row>
    <row r="124" spans="1:19" x14ac:dyDescent="0.2">
      <c r="A124" s="222" t="s">
        <v>2351</v>
      </c>
      <c r="B124" s="223" t="s">
        <v>2352</v>
      </c>
      <c r="C124" s="223" t="s">
        <v>111</v>
      </c>
      <c r="D124" s="227"/>
      <c r="E124" s="223" t="s">
        <v>2352</v>
      </c>
      <c r="F124" s="224" t="s">
        <v>2353</v>
      </c>
      <c r="H124" s="242" t="s">
        <v>1309</v>
      </c>
      <c r="I124" s="201" t="s">
        <v>1310</v>
      </c>
      <c r="J124" s="201" t="s">
        <v>1311</v>
      </c>
      <c r="K124" s="201" t="s">
        <v>1312</v>
      </c>
      <c r="L124" s="201" t="s">
        <v>1313</v>
      </c>
      <c r="M124" s="154" t="s">
        <v>2026</v>
      </c>
      <c r="N124" s="43" t="s">
        <v>908</v>
      </c>
    </row>
    <row r="125" spans="1:19" x14ac:dyDescent="0.2">
      <c r="A125" s="222" t="s">
        <v>1863</v>
      </c>
      <c r="B125" s="223" t="s">
        <v>1864</v>
      </c>
      <c r="C125" s="223" t="s">
        <v>111</v>
      </c>
      <c r="D125" s="217"/>
      <c r="E125" s="223" t="s">
        <v>1864</v>
      </c>
      <c r="F125" s="224" t="s">
        <v>1865</v>
      </c>
      <c r="H125" s="242" t="s">
        <v>483</v>
      </c>
      <c r="I125" s="201" t="s">
        <v>482</v>
      </c>
      <c r="J125" s="201" t="s">
        <v>481</v>
      </c>
      <c r="K125" s="201" t="s">
        <v>480</v>
      </c>
      <c r="L125" s="201" t="s">
        <v>479</v>
      </c>
      <c r="M125" s="251" t="s">
        <v>2026</v>
      </c>
      <c r="N125" s="43" t="s">
        <v>908</v>
      </c>
    </row>
    <row r="126" spans="1:19" x14ac:dyDescent="0.2">
      <c r="A126" s="222" t="s">
        <v>1866</v>
      </c>
      <c r="B126" s="223" t="s">
        <v>1867</v>
      </c>
      <c r="C126" s="223" t="s">
        <v>111</v>
      </c>
      <c r="D126" s="217"/>
      <c r="E126" s="223" t="s">
        <v>1867</v>
      </c>
      <c r="F126" s="224" t="s">
        <v>1868</v>
      </c>
      <c r="H126" s="242" t="s">
        <v>1314</v>
      </c>
      <c r="I126" s="201" t="s">
        <v>1315</v>
      </c>
      <c r="J126" s="201" t="s">
        <v>1316</v>
      </c>
      <c r="K126" s="201" t="s">
        <v>1317</v>
      </c>
      <c r="L126" s="201" t="s">
        <v>1318</v>
      </c>
      <c r="M126" s="154" t="s">
        <v>2026</v>
      </c>
      <c r="N126" s="43" t="s">
        <v>908</v>
      </c>
    </row>
    <row r="127" spans="1:19" x14ac:dyDescent="0.2">
      <c r="A127" s="222" t="s">
        <v>169</v>
      </c>
      <c r="B127" s="223" t="s">
        <v>168</v>
      </c>
      <c r="C127" s="223" t="s">
        <v>111</v>
      </c>
      <c r="D127" s="217"/>
      <c r="E127" s="223" t="s">
        <v>168</v>
      </c>
      <c r="F127" s="224" t="s">
        <v>880</v>
      </c>
      <c r="H127" s="242" t="s">
        <v>1319</v>
      </c>
      <c r="I127" s="201" t="s">
        <v>1320</v>
      </c>
      <c r="J127" s="201" t="s">
        <v>1321</v>
      </c>
      <c r="K127" s="201" t="s">
        <v>1322</v>
      </c>
      <c r="L127" s="202" t="s">
        <v>1320</v>
      </c>
      <c r="M127" s="154" t="s">
        <v>2026</v>
      </c>
      <c r="N127" s="43" t="s">
        <v>908</v>
      </c>
    </row>
    <row r="128" spans="1:19" x14ac:dyDescent="0.2">
      <c r="A128" s="222" t="s">
        <v>1869</v>
      </c>
      <c r="B128" s="223" t="s">
        <v>1870</v>
      </c>
      <c r="C128" s="223" t="s">
        <v>111</v>
      </c>
      <c r="D128" s="217"/>
      <c r="E128" s="223" t="s">
        <v>1870</v>
      </c>
      <c r="F128" s="224" t="s">
        <v>1871</v>
      </c>
      <c r="H128" s="242" t="s">
        <v>1323</v>
      </c>
      <c r="I128" s="201" t="s">
        <v>1324</v>
      </c>
      <c r="J128" s="201" t="s">
        <v>1325</v>
      </c>
      <c r="K128" s="201" t="s">
        <v>1326</v>
      </c>
      <c r="L128" s="201" t="s">
        <v>1327</v>
      </c>
      <c r="M128" s="154" t="s">
        <v>2026</v>
      </c>
      <c r="N128" s="43" t="s">
        <v>908</v>
      </c>
    </row>
    <row r="129" spans="1:14" x14ac:dyDescent="0.2">
      <c r="A129" s="222" t="s">
        <v>166</v>
      </c>
      <c r="B129" s="223" t="s">
        <v>165</v>
      </c>
      <c r="C129" s="223" t="s">
        <v>111</v>
      </c>
      <c r="D129" s="217"/>
      <c r="E129" s="223" t="s">
        <v>165</v>
      </c>
      <c r="F129" s="224" t="s">
        <v>881</v>
      </c>
      <c r="H129" s="242" t="s">
        <v>1328</v>
      </c>
      <c r="I129" s="201" t="s">
        <v>1329</v>
      </c>
      <c r="J129" s="201" t="s">
        <v>1330</v>
      </c>
      <c r="K129" s="201" t="s">
        <v>1331</v>
      </c>
      <c r="L129" s="201" t="s">
        <v>1332</v>
      </c>
      <c r="M129" s="154" t="s">
        <v>2026</v>
      </c>
      <c r="N129" s="43" t="s">
        <v>908</v>
      </c>
    </row>
    <row r="130" spans="1:14" x14ac:dyDescent="0.2">
      <c r="A130" s="222" t="s">
        <v>2238</v>
      </c>
      <c r="B130" s="223" t="s">
        <v>2239</v>
      </c>
      <c r="C130" s="223" t="s">
        <v>111</v>
      </c>
      <c r="D130" s="227"/>
      <c r="E130" s="223" t="s">
        <v>2239</v>
      </c>
      <c r="F130" s="224" t="s">
        <v>2240</v>
      </c>
      <c r="H130" s="242" t="s">
        <v>1333</v>
      </c>
      <c r="I130" s="201" t="s">
        <v>1334</v>
      </c>
      <c r="J130" s="201" t="s">
        <v>1335</v>
      </c>
      <c r="K130" s="201" t="s">
        <v>1336</v>
      </c>
      <c r="L130" s="201" t="s">
        <v>1337</v>
      </c>
      <c r="M130" s="154" t="s">
        <v>2026</v>
      </c>
      <c r="N130" s="43" t="s">
        <v>908</v>
      </c>
    </row>
    <row r="131" spans="1:14" x14ac:dyDescent="0.2">
      <c r="A131" s="222" t="s">
        <v>163</v>
      </c>
      <c r="B131" s="223" t="s">
        <v>162</v>
      </c>
      <c r="C131" s="223" t="s">
        <v>111</v>
      </c>
      <c r="D131" s="217"/>
      <c r="E131" s="223" t="s">
        <v>162</v>
      </c>
      <c r="F131" s="224" t="s">
        <v>882</v>
      </c>
      <c r="H131" s="242" t="s">
        <v>1338</v>
      </c>
      <c r="I131" s="201" t="s">
        <v>1339</v>
      </c>
      <c r="J131" s="201" t="s">
        <v>1340</v>
      </c>
      <c r="K131" s="201" t="s">
        <v>1341</v>
      </c>
      <c r="L131" s="201" t="s">
        <v>1341</v>
      </c>
      <c r="M131" s="154" t="s">
        <v>2026</v>
      </c>
      <c r="N131" s="43" t="s">
        <v>908</v>
      </c>
    </row>
    <row r="132" spans="1:14" x14ac:dyDescent="0.2">
      <c r="A132" s="222" t="s">
        <v>161</v>
      </c>
      <c r="B132" s="223" t="s">
        <v>160</v>
      </c>
      <c r="C132" s="223" t="s">
        <v>111</v>
      </c>
      <c r="D132" s="217"/>
      <c r="E132" s="223" t="s">
        <v>160</v>
      </c>
      <c r="F132" s="224" t="s">
        <v>883</v>
      </c>
      <c r="H132" s="242" t="s">
        <v>1342</v>
      </c>
      <c r="I132" s="201" t="s">
        <v>1343</v>
      </c>
      <c r="J132" s="201" t="s">
        <v>1344</v>
      </c>
      <c r="K132" s="202" t="s">
        <v>1345</v>
      </c>
      <c r="L132" s="202" t="s">
        <v>1346</v>
      </c>
      <c r="M132" s="154" t="s">
        <v>2026</v>
      </c>
      <c r="N132" s="43" t="s">
        <v>908</v>
      </c>
    </row>
    <row r="133" spans="1:14" x14ac:dyDescent="0.2">
      <c r="A133" s="222" t="s">
        <v>1872</v>
      </c>
      <c r="B133" s="223" t="s">
        <v>1873</v>
      </c>
      <c r="C133" s="223" t="s">
        <v>111</v>
      </c>
      <c r="D133" s="217"/>
      <c r="E133" s="223" t="s">
        <v>1873</v>
      </c>
      <c r="F133" s="224" t="s">
        <v>1874</v>
      </c>
      <c r="H133" s="242" t="s">
        <v>1347</v>
      </c>
      <c r="I133" s="201" t="s">
        <v>1348</v>
      </c>
      <c r="J133" s="201" t="s">
        <v>1349</v>
      </c>
      <c r="K133" s="202" t="s">
        <v>1348</v>
      </c>
      <c r="L133" s="202" t="s">
        <v>1348</v>
      </c>
      <c r="M133" s="154" t="s">
        <v>2026</v>
      </c>
      <c r="N133" s="43" t="s">
        <v>908</v>
      </c>
    </row>
    <row r="134" spans="1:14" x14ac:dyDescent="0.2">
      <c r="A134" s="222" t="s">
        <v>1875</v>
      </c>
      <c r="B134" s="223" t="s">
        <v>1876</v>
      </c>
      <c r="C134" s="223" t="s">
        <v>111</v>
      </c>
      <c r="D134" s="217"/>
      <c r="E134" s="223" t="s">
        <v>1876</v>
      </c>
      <c r="F134" s="224" t="s">
        <v>1877</v>
      </c>
      <c r="H134" s="242" t="s">
        <v>1350</v>
      </c>
      <c r="I134" s="201" t="s">
        <v>1351</v>
      </c>
      <c r="J134" s="201" t="s">
        <v>1352</v>
      </c>
      <c r="K134" s="201"/>
      <c r="L134" s="201"/>
      <c r="M134" s="154" t="s">
        <v>2026</v>
      </c>
      <c r="N134" s="43" t="s">
        <v>908</v>
      </c>
    </row>
    <row r="135" spans="1:14" x14ac:dyDescent="0.2">
      <c r="A135" s="222" t="s">
        <v>1878</v>
      </c>
      <c r="B135" s="223" t="s">
        <v>1879</v>
      </c>
      <c r="C135" s="223" t="s">
        <v>111</v>
      </c>
      <c r="D135" s="217"/>
      <c r="E135" s="223" t="s">
        <v>1879</v>
      </c>
      <c r="F135" s="224" t="s">
        <v>1880</v>
      </c>
      <c r="H135" s="242" t="s">
        <v>1353</v>
      </c>
      <c r="I135" s="202" t="s">
        <v>2587</v>
      </c>
      <c r="J135" s="201" t="s">
        <v>1354</v>
      </c>
      <c r="K135" s="201" t="s">
        <v>1355</v>
      </c>
      <c r="L135" s="201" t="s">
        <v>1356</v>
      </c>
      <c r="M135" s="154" t="s">
        <v>2026</v>
      </c>
      <c r="N135" s="43" t="s">
        <v>908</v>
      </c>
    </row>
    <row r="136" spans="1:14" x14ac:dyDescent="0.2">
      <c r="A136" s="222" t="s">
        <v>159</v>
      </c>
      <c r="B136" s="223" t="s">
        <v>158</v>
      </c>
      <c r="C136" s="223" t="s">
        <v>111</v>
      </c>
      <c r="D136" s="217"/>
      <c r="E136" s="223" t="s">
        <v>158</v>
      </c>
      <c r="F136" s="224" t="s">
        <v>884</v>
      </c>
      <c r="H136" s="242" t="s">
        <v>1357</v>
      </c>
      <c r="I136" s="201" t="s">
        <v>1358</v>
      </c>
      <c r="J136" s="201" t="s">
        <v>1359</v>
      </c>
      <c r="K136" s="201"/>
      <c r="L136" s="201" t="s">
        <v>1360</v>
      </c>
      <c r="M136" s="154" t="s">
        <v>2026</v>
      </c>
      <c r="N136" s="43" t="s">
        <v>908</v>
      </c>
    </row>
    <row r="137" spans="1:14" x14ac:dyDescent="0.2">
      <c r="A137" s="222" t="s">
        <v>1881</v>
      </c>
      <c r="B137" s="223" t="s">
        <v>1882</v>
      </c>
      <c r="C137" s="223" t="s">
        <v>111</v>
      </c>
      <c r="D137" s="217"/>
      <c r="E137" s="223" t="s">
        <v>1882</v>
      </c>
      <c r="F137" s="224" t="s">
        <v>1883</v>
      </c>
      <c r="H137" s="242" t="s">
        <v>1361</v>
      </c>
      <c r="I137" s="201" t="s">
        <v>1362</v>
      </c>
      <c r="J137" s="201" t="s">
        <v>1363</v>
      </c>
      <c r="K137" s="201" t="s">
        <v>1364</v>
      </c>
      <c r="L137" s="201" t="s">
        <v>1365</v>
      </c>
      <c r="M137" s="154" t="s">
        <v>2026</v>
      </c>
      <c r="N137" s="43" t="s">
        <v>908</v>
      </c>
    </row>
    <row r="138" spans="1:14" x14ac:dyDescent="0.2">
      <c r="A138" s="222" t="s">
        <v>150</v>
      </c>
      <c r="B138" s="223" t="s">
        <v>149</v>
      </c>
      <c r="C138" s="223" t="s">
        <v>111</v>
      </c>
      <c r="D138" s="217"/>
      <c r="E138" s="223" t="s">
        <v>149</v>
      </c>
      <c r="F138" s="224" t="s">
        <v>886</v>
      </c>
      <c r="H138" s="242" t="s">
        <v>1366</v>
      </c>
      <c r="I138" s="201" t="s">
        <v>1367</v>
      </c>
      <c r="J138" s="201" t="s">
        <v>1368</v>
      </c>
      <c r="K138" s="201" t="s">
        <v>1369</v>
      </c>
      <c r="L138" s="201" t="s">
        <v>1370</v>
      </c>
      <c r="M138" s="154" t="s">
        <v>2026</v>
      </c>
      <c r="N138" s="43" t="s">
        <v>908</v>
      </c>
    </row>
    <row r="139" spans="1:14" x14ac:dyDescent="0.2">
      <c r="A139" s="222" t="s">
        <v>1884</v>
      </c>
      <c r="B139" s="223" t="s">
        <v>1885</v>
      </c>
      <c r="C139" s="223" t="s">
        <v>111</v>
      </c>
      <c r="D139" s="217"/>
      <c r="E139" s="223" t="s">
        <v>1885</v>
      </c>
      <c r="F139" s="224" t="s">
        <v>1886</v>
      </c>
      <c r="H139" s="242" t="s">
        <v>1371</v>
      </c>
      <c r="I139" s="201" t="s">
        <v>1372</v>
      </c>
      <c r="J139" s="201" t="s">
        <v>1373</v>
      </c>
      <c r="K139" s="201" t="s">
        <v>1374</v>
      </c>
      <c r="L139" s="201" t="s">
        <v>1375</v>
      </c>
      <c r="M139" s="154" t="s">
        <v>2026</v>
      </c>
      <c r="N139" s="43" t="s">
        <v>908</v>
      </c>
    </row>
    <row r="140" spans="1:14" x14ac:dyDescent="0.2">
      <c r="A140" s="222" t="s">
        <v>1887</v>
      </c>
      <c r="B140" s="223" t="s">
        <v>1888</v>
      </c>
      <c r="C140" s="223" t="s">
        <v>111</v>
      </c>
      <c r="D140" s="217"/>
      <c r="E140" s="223" t="s">
        <v>1888</v>
      </c>
      <c r="F140" s="224" t="s">
        <v>1889</v>
      </c>
      <c r="H140" s="242" t="s">
        <v>1376</v>
      </c>
      <c r="I140" s="201" t="s">
        <v>1377</v>
      </c>
      <c r="J140" s="201" t="s">
        <v>2588</v>
      </c>
      <c r="K140" s="202" t="s">
        <v>2589</v>
      </c>
      <c r="L140" s="202" t="s">
        <v>2590</v>
      </c>
      <c r="M140" s="154" t="s">
        <v>2026</v>
      </c>
      <c r="N140" s="155" t="s">
        <v>909</v>
      </c>
    </row>
    <row r="141" spans="1:14" x14ac:dyDescent="0.2">
      <c r="A141" s="222" t="s">
        <v>143</v>
      </c>
      <c r="B141" s="223" t="s">
        <v>142</v>
      </c>
      <c r="C141" s="223" t="s">
        <v>111</v>
      </c>
      <c r="D141" s="217"/>
      <c r="E141" s="223" t="s">
        <v>142</v>
      </c>
      <c r="F141" s="224" t="s">
        <v>887</v>
      </c>
      <c r="H141" s="242" t="s">
        <v>1378</v>
      </c>
      <c r="I141" s="201" t="s">
        <v>1379</v>
      </c>
      <c r="J141" s="201" t="s">
        <v>2591</v>
      </c>
      <c r="K141" s="201" t="s">
        <v>2592</v>
      </c>
      <c r="L141" s="201" t="s">
        <v>2593</v>
      </c>
      <c r="M141" s="154" t="s">
        <v>2026</v>
      </c>
      <c r="N141" s="155" t="s">
        <v>909</v>
      </c>
    </row>
    <row r="142" spans="1:14" x14ac:dyDescent="0.2">
      <c r="A142" s="222" t="s">
        <v>1890</v>
      </c>
      <c r="B142" s="223" t="s">
        <v>1891</v>
      </c>
      <c r="C142" s="223" t="s">
        <v>111</v>
      </c>
      <c r="D142" s="227"/>
      <c r="E142" s="223" t="s">
        <v>1891</v>
      </c>
      <c r="F142" s="224" t="s">
        <v>1892</v>
      </c>
      <c r="H142" s="242" t="s">
        <v>1380</v>
      </c>
      <c r="I142" s="201" t="s">
        <v>1381</v>
      </c>
      <c r="J142" s="201" t="s">
        <v>2594</v>
      </c>
      <c r="K142" s="201" t="s">
        <v>2595</v>
      </c>
      <c r="L142" s="201" t="s">
        <v>2596</v>
      </c>
      <c r="M142" s="150" t="s">
        <v>2026</v>
      </c>
      <c r="N142" s="156" t="s">
        <v>909</v>
      </c>
    </row>
    <row r="143" spans="1:14" x14ac:dyDescent="0.2">
      <c r="A143" s="222" t="s">
        <v>2241</v>
      </c>
      <c r="B143" s="223" t="s">
        <v>2242</v>
      </c>
      <c r="C143" s="223" t="s">
        <v>111</v>
      </c>
      <c r="D143" s="227"/>
      <c r="E143" s="223" t="s">
        <v>2242</v>
      </c>
      <c r="F143" s="224" t="s">
        <v>2243</v>
      </c>
      <c r="H143" s="242" t="s">
        <v>1730</v>
      </c>
      <c r="I143" s="201" t="s">
        <v>1731</v>
      </c>
      <c r="J143" s="201" t="s">
        <v>1732</v>
      </c>
      <c r="K143" s="201" t="s">
        <v>1733</v>
      </c>
      <c r="L143" s="201" t="s">
        <v>1734</v>
      </c>
      <c r="M143" s="154" t="s">
        <v>2027</v>
      </c>
      <c r="N143" s="43" t="s">
        <v>908</v>
      </c>
    </row>
    <row r="144" spans="1:14" x14ac:dyDescent="0.2">
      <c r="A144" s="222" t="s">
        <v>1893</v>
      </c>
      <c r="B144" s="223" t="s">
        <v>1894</v>
      </c>
      <c r="C144" s="223" t="s">
        <v>111</v>
      </c>
      <c r="D144" s="227"/>
      <c r="E144" s="223" t="s">
        <v>1894</v>
      </c>
      <c r="F144" s="224" t="s">
        <v>1895</v>
      </c>
      <c r="H144" s="242" t="s">
        <v>1735</v>
      </c>
      <c r="I144" s="201" t="s">
        <v>1736</v>
      </c>
      <c r="J144" s="201" t="s">
        <v>1737</v>
      </c>
      <c r="K144" s="201" t="s">
        <v>1738</v>
      </c>
      <c r="L144" s="201" t="s">
        <v>1739</v>
      </c>
      <c r="M144" s="154" t="s">
        <v>2027</v>
      </c>
      <c r="N144" s="43" t="s">
        <v>908</v>
      </c>
    </row>
    <row r="145" spans="1:14" x14ac:dyDescent="0.2">
      <c r="A145" s="222" t="s">
        <v>1896</v>
      </c>
      <c r="B145" s="223" t="s">
        <v>1897</v>
      </c>
      <c r="C145" s="223" t="s">
        <v>111</v>
      </c>
      <c r="D145" s="227"/>
      <c r="E145" s="223" t="s">
        <v>1897</v>
      </c>
      <c r="F145" s="224" t="s">
        <v>1898</v>
      </c>
      <c r="H145" s="242" t="s">
        <v>1740</v>
      </c>
      <c r="I145" s="201" t="s">
        <v>1741</v>
      </c>
      <c r="J145" s="201" t="s">
        <v>1742</v>
      </c>
      <c r="K145" s="201" t="s">
        <v>1743</v>
      </c>
      <c r="L145" s="201" t="s">
        <v>1744</v>
      </c>
      <c r="M145" s="154" t="s">
        <v>2027</v>
      </c>
      <c r="N145" s="43" t="s">
        <v>908</v>
      </c>
    </row>
    <row r="146" spans="1:14" x14ac:dyDescent="0.2">
      <c r="A146" s="222" t="s">
        <v>1899</v>
      </c>
      <c r="B146" s="223" t="s">
        <v>1900</v>
      </c>
      <c r="C146" s="223" t="s">
        <v>111</v>
      </c>
      <c r="D146" s="227"/>
      <c r="E146" s="223" t="s">
        <v>1900</v>
      </c>
      <c r="F146" s="224" t="s">
        <v>1901</v>
      </c>
      <c r="H146" s="242" t="s">
        <v>1745</v>
      </c>
      <c r="I146" s="201" t="s">
        <v>1746</v>
      </c>
      <c r="J146" s="201" t="s">
        <v>1747</v>
      </c>
      <c r="K146" s="201" t="s">
        <v>1748</v>
      </c>
      <c r="L146" s="201" t="s">
        <v>1749</v>
      </c>
      <c r="M146" s="154" t="s">
        <v>2027</v>
      </c>
      <c r="N146" s="43" t="s">
        <v>908</v>
      </c>
    </row>
    <row r="147" spans="1:14" x14ac:dyDescent="0.2">
      <c r="A147" s="222" t="s">
        <v>2354</v>
      </c>
      <c r="B147" s="223" t="s">
        <v>2244</v>
      </c>
      <c r="C147" s="223" t="s">
        <v>111</v>
      </c>
      <c r="D147" s="227"/>
      <c r="E147" s="223" t="s">
        <v>2244</v>
      </c>
      <c r="F147" s="224" t="s">
        <v>2245</v>
      </c>
      <c r="H147" s="242" t="s">
        <v>1750</v>
      </c>
      <c r="I147" s="201" t="s">
        <v>1751</v>
      </c>
      <c r="J147" s="201" t="s">
        <v>1752</v>
      </c>
      <c r="K147" s="201" t="s">
        <v>1753</v>
      </c>
      <c r="L147" s="201" t="s">
        <v>1754</v>
      </c>
      <c r="M147" s="154" t="s">
        <v>2027</v>
      </c>
      <c r="N147" s="43" t="s">
        <v>908</v>
      </c>
    </row>
    <row r="148" spans="1:14" x14ac:dyDescent="0.2">
      <c r="A148" s="222" t="s">
        <v>1902</v>
      </c>
      <c r="B148" s="223" t="s">
        <v>1903</v>
      </c>
      <c r="C148" s="223" t="s">
        <v>111</v>
      </c>
      <c r="D148" s="227"/>
      <c r="E148" s="223" t="s">
        <v>1903</v>
      </c>
      <c r="F148" s="224" t="s">
        <v>1904</v>
      </c>
      <c r="H148" s="242" t="s">
        <v>1755</v>
      </c>
      <c r="I148" s="201" t="s">
        <v>1756</v>
      </c>
      <c r="J148" s="201" t="s">
        <v>1757</v>
      </c>
      <c r="K148" s="201" t="s">
        <v>1758</v>
      </c>
      <c r="L148" s="201" t="s">
        <v>1759</v>
      </c>
      <c r="M148" s="154" t="s">
        <v>2027</v>
      </c>
      <c r="N148" s="43" t="s">
        <v>908</v>
      </c>
    </row>
    <row r="149" spans="1:14" x14ac:dyDescent="0.2">
      <c r="A149" s="222" t="s">
        <v>1905</v>
      </c>
      <c r="B149" s="223" t="s">
        <v>1906</v>
      </c>
      <c r="C149" s="223" t="s">
        <v>111</v>
      </c>
      <c r="D149" s="227"/>
      <c r="E149" s="223" t="s">
        <v>1906</v>
      </c>
      <c r="F149" s="224" t="s">
        <v>1907</v>
      </c>
      <c r="H149" s="242" t="s">
        <v>1760</v>
      </c>
      <c r="I149" s="202" t="s">
        <v>2597</v>
      </c>
      <c r="J149" s="201" t="s">
        <v>2598</v>
      </c>
      <c r="K149" s="201" t="s">
        <v>2599</v>
      </c>
      <c r="L149" s="201" t="s">
        <v>2600</v>
      </c>
      <c r="M149" s="150" t="s">
        <v>2027</v>
      </c>
      <c r="N149" s="156" t="s">
        <v>2601</v>
      </c>
    </row>
    <row r="150" spans="1:14" x14ac:dyDescent="0.2">
      <c r="A150" s="222" t="s">
        <v>135</v>
      </c>
      <c r="B150" s="223" t="s">
        <v>134</v>
      </c>
      <c r="C150" s="223" t="s">
        <v>111</v>
      </c>
      <c r="D150" s="227"/>
      <c r="E150" s="223" t="s">
        <v>134</v>
      </c>
      <c r="F150" s="224" t="s">
        <v>320</v>
      </c>
      <c r="H150" s="242" t="s">
        <v>1603</v>
      </c>
      <c r="I150" s="201" t="s">
        <v>1604</v>
      </c>
      <c r="J150" s="201" t="s">
        <v>1605</v>
      </c>
      <c r="K150" s="201" t="s">
        <v>1606</v>
      </c>
      <c r="L150" s="201" t="s">
        <v>1607</v>
      </c>
      <c r="M150" s="154" t="s">
        <v>2028</v>
      </c>
      <c r="N150" s="43" t="s">
        <v>908</v>
      </c>
    </row>
    <row r="151" spans="1:14" x14ac:dyDescent="0.2">
      <c r="A151" s="222" t="s">
        <v>1908</v>
      </c>
      <c r="B151" s="223" t="s">
        <v>1909</v>
      </c>
      <c r="C151" s="223" t="s">
        <v>111</v>
      </c>
      <c r="D151" s="227"/>
      <c r="E151" s="223" t="s">
        <v>1909</v>
      </c>
      <c r="F151" s="224" t="s">
        <v>1910</v>
      </c>
      <c r="H151" s="242" t="s">
        <v>1517</v>
      </c>
      <c r="I151" s="201" t="s">
        <v>1518</v>
      </c>
      <c r="J151" s="201" t="s">
        <v>1519</v>
      </c>
      <c r="K151" s="201" t="s">
        <v>1520</v>
      </c>
      <c r="L151" s="201" t="s">
        <v>1521</v>
      </c>
      <c r="M151" s="154" t="s">
        <v>2028</v>
      </c>
      <c r="N151" s="43" t="s">
        <v>908</v>
      </c>
    </row>
    <row r="152" spans="1:14" x14ac:dyDescent="0.2">
      <c r="A152" s="222" t="s">
        <v>1911</v>
      </c>
      <c r="B152" s="223" t="s">
        <v>1912</v>
      </c>
      <c r="C152" s="223" t="s">
        <v>111</v>
      </c>
      <c r="D152" s="227"/>
      <c r="E152" s="223" t="s">
        <v>1912</v>
      </c>
      <c r="F152" s="224" t="s">
        <v>1913</v>
      </c>
      <c r="H152" s="242" t="s">
        <v>1612</v>
      </c>
      <c r="I152" s="201" t="s">
        <v>1613</v>
      </c>
      <c r="J152" s="201" t="s">
        <v>1614</v>
      </c>
      <c r="K152" s="201" t="s">
        <v>1615</v>
      </c>
      <c r="L152" s="201" t="s">
        <v>1616</v>
      </c>
      <c r="M152" s="154" t="s">
        <v>2028</v>
      </c>
      <c r="N152" s="43" t="s">
        <v>908</v>
      </c>
    </row>
    <row r="153" spans="1:14" x14ac:dyDescent="0.2">
      <c r="A153" s="222" t="s">
        <v>1914</v>
      </c>
      <c r="B153" s="223" t="s">
        <v>1915</v>
      </c>
      <c r="C153" s="223" t="s">
        <v>111</v>
      </c>
      <c r="D153" s="227"/>
      <c r="E153" s="223" t="s">
        <v>1915</v>
      </c>
      <c r="F153" s="224" t="s">
        <v>1916</v>
      </c>
      <c r="H153" s="242" t="s">
        <v>1617</v>
      </c>
      <c r="I153" s="201" t="s">
        <v>1618</v>
      </c>
      <c r="J153" s="201" t="s">
        <v>1619</v>
      </c>
      <c r="K153" s="201" t="s">
        <v>1620</v>
      </c>
      <c r="L153" s="201" t="s">
        <v>1621</v>
      </c>
      <c r="M153" s="154" t="s">
        <v>2028</v>
      </c>
      <c r="N153" s="43" t="s">
        <v>908</v>
      </c>
    </row>
    <row r="154" spans="1:14" x14ac:dyDescent="0.2">
      <c r="A154" s="222" t="s">
        <v>132</v>
      </c>
      <c r="B154" s="223" t="s">
        <v>131</v>
      </c>
      <c r="C154" s="223" t="s">
        <v>111</v>
      </c>
      <c r="D154" s="227"/>
      <c r="E154" s="223" t="s">
        <v>131</v>
      </c>
      <c r="F154" s="224" t="s">
        <v>889</v>
      </c>
      <c r="H154" s="242" t="s">
        <v>1641</v>
      </c>
      <c r="I154" s="201" t="s">
        <v>1642</v>
      </c>
      <c r="J154" s="201" t="s">
        <v>1643</v>
      </c>
      <c r="K154" s="201" t="s">
        <v>1644</v>
      </c>
      <c r="L154" s="201" t="s">
        <v>1645</v>
      </c>
      <c r="M154" s="154" t="s">
        <v>2028</v>
      </c>
      <c r="N154" s="43" t="s">
        <v>908</v>
      </c>
    </row>
    <row r="155" spans="1:14" x14ac:dyDescent="0.2">
      <c r="A155" s="222" t="s">
        <v>2263</v>
      </c>
      <c r="B155" s="223" t="s">
        <v>2264</v>
      </c>
      <c r="C155" s="223" t="s">
        <v>111</v>
      </c>
      <c r="D155" s="227"/>
      <c r="E155" s="223" t="s">
        <v>2264</v>
      </c>
      <c r="F155" s="224" t="s">
        <v>2265</v>
      </c>
      <c r="H155" s="242" t="s">
        <v>1651</v>
      </c>
      <c r="I155" s="201" t="s">
        <v>1652</v>
      </c>
      <c r="J155" s="201" t="s">
        <v>1653</v>
      </c>
      <c r="K155" s="201" t="s">
        <v>1654</v>
      </c>
      <c r="L155" s="201" t="s">
        <v>1655</v>
      </c>
      <c r="M155" s="154" t="s">
        <v>2028</v>
      </c>
      <c r="N155" s="43" t="s">
        <v>908</v>
      </c>
    </row>
    <row r="156" spans="1:14" x14ac:dyDescent="0.2">
      <c r="A156" s="222" t="s">
        <v>128</v>
      </c>
      <c r="B156" s="223" t="s">
        <v>127</v>
      </c>
      <c r="C156" s="223" t="s">
        <v>111</v>
      </c>
      <c r="D156" s="227" t="s">
        <v>129</v>
      </c>
      <c r="E156" s="223" t="s">
        <v>127</v>
      </c>
      <c r="F156" s="224" t="s">
        <v>891</v>
      </c>
      <c r="H156" s="242" t="s">
        <v>1646</v>
      </c>
      <c r="I156" s="201" t="s">
        <v>1647</v>
      </c>
      <c r="J156" s="201" t="s">
        <v>1648</v>
      </c>
      <c r="K156" s="201" t="s">
        <v>1649</v>
      </c>
      <c r="L156" s="201" t="s">
        <v>1650</v>
      </c>
      <c r="M156" s="154" t="s">
        <v>2028</v>
      </c>
      <c r="N156" s="43" t="s">
        <v>908</v>
      </c>
    </row>
    <row r="157" spans="1:14" x14ac:dyDescent="0.2">
      <c r="A157" s="222" t="s">
        <v>1917</v>
      </c>
      <c r="B157" s="223" t="s">
        <v>1918</v>
      </c>
      <c r="C157" s="223" t="s">
        <v>111</v>
      </c>
      <c r="D157" s="227"/>
      <c r="E157" s="223" t="s">
        <v>1918</v>
      </c>
      <c r="F157" s="224" t="s">
        <v>1919</v>
      </c>
      <c r="H157" s="242" t="s">
        <v>1522</v>
      </c>
      <c r="I157" s="201" t="s">
        <v>1523</v>
      </c>
      <c r="J157" s="201" t="s">
        <v>1524</v>
      </c>
      <c r="K157" s="201" t="s">
        <v>1525</v>
      </c>
      <c r="L157" s="201" t="s">
        <v>1526</v>
      </c>
      <c r="M157" s="154" t="s">
        <v>2028</v>
      </c>
      <c r="N157" s="43" t="s">
        <v>908</v>
      </c>
    </row>
    <row r="158" spans="1:14" x14ac:dyDescent="0.2">
      <c r="A158" s="222" t="s">
        <v>2355</v>
      </c>
      <c r="B158" s="223" t="s">
        <v>2356</v>
      </c>
      <c r="C158" s="223" t="s">
        <v>111</v>
      </c>
      <c r="D158" s="227"/>
      <c r="E158" s="223" t="s">
        <v>2356</v>
      </c>
      <c r="F158" s="224" t="s">
        <v>2357</v>
      </c>
      <c r="H158" s="242" t="s">
        <v>1527</v>
      </c>
      <c r="I158" s="201" t="s">
        <v>1528</v>
      </c>
      <c r="J158" s="201" t="s">
        <v>1529</v>
      </c>
      <c r="K158" s="201" t="s">
        <v>1530</v>
      </c>
      <c r="L158" s="201" t="s">
        <v>1531</v>
      </c>
      <c r="M158" s="154" t="s">
        <v>2028</v>
      </c>
      <c r="N158" s="43" t="s">
        <v>908</v>
      </c>
    </row>
    <row r="159" spans="1:14" x14ac:dyDescent="0.2">
      <c r="A159" s="222" t="s">
        <v>1920</v>
      </c>
      <c r="B159" s="223" t="s">
        <v>1241</v>
      </c>
      <c r="C159" s="223" t="s">
        <v>111</v>
      </c>
      <c r="D159" s="227"/>
      <c r="E159" s="223" t="s">
        <v>1241</v>
      </c>
      <c r="F159" s="224" t="s">
        <v>1921</v>
      </c>
      <c r="H159" s="242" t="s">
        <v>1661</v>
      </c>
      <c r="I159" s="201" t="s">
        <v>1662</v>
      </c>
      <c r="J159" s="201" t="s">
        <v>1663</v>
      </c>
      <c r="K159" s="201" t="s">
        <v>1664</v>
      </c>
      <c r="L159" s="201" t="s">
        <v>1665</v>
      </c>
      <c r="M159" s="154" t="s">
        <v>2028</v>
      </c>
      <c r="N159" s="43" t="s">
        <v>908</v>
      </c>
    </row>
    <row r="160" spans="1:14" x14ac:dyDescent="0.2">
      <c r="A160" s="222" t="s">
        <v>126</v>
      </c>
      <c r="B160" s="223" t="s">
        <v>125</v>
      </c>
      <c r="C160" s="223" t="s">
        <v>111</v>
      </c>
      <c r="D160" s="227"/>
      <c r="E160" s="223" t="s">
        <v>125</v>
      </c>
      <c r="F160" s="224" t="s">
        <v>892</v>
      </c>
      <c r="H160" s="242" t="s">
        <v>1532</v>
      </c>
      <c r="I160" s="201" t="s">
        <v>1533</v>
      </c>
      <c r="J160" s="201" t="s">
        <v>1534</v>
      </c>
      <c r="K160" s="201" t="s">
        <v>1535</v>
      </c>
      <c r="L160" s="201" t="s">
        <v>1536</v>
      </c>
      <c r="M160" s="154" t="s">
        <v>2028</v>
      </c>
      <c r="N160" s="43" t="s">
        <v>908</v>
      </c>
    </row>
    <row r="161" spans="1:14" x14ac:dyDescent="0.2">
      <c r="A161" s="222" t="s">
        <v>124</v>
      </c>
      <c r="B161" s="223" t="s">
        <v>123</v>
      </c>
      <c r="C161" s="223" t="s">
        <v>111</v>
      </c>
      <c r="D161" s="227"/>
      <c r="E161" s="223" t="s">
        <v>123</v>
      </c>
      <c r="F161" s="224" t="s">
        <v>893</v>
      </c>
      <c r="H161" s="242" t="s">
        <v>795</v>
      </c>
      <c r="I161" s="201" t="s">
        <v>1537</v>
      </c>
      <c r="J161" s="201" t="s">
        <v>1538</v>
      </c>
      <c r="K161" s="201" t="s">
        <v>1539</v>
      </c>
      <c r="L161" s="201" t="s">
        <v>1540</v>
      </c>
      <c r="M161" s="154" t="s">
        <v>2028</v>
      </c>
      <c r="N161" s="43" t="s">
        <v>908</v>
      </c>
    </row>
    <row r="162" spans="1:14" x14ac:dyDescent="0.2">
      <c r="A162" s="222" t="s">
        <v>122</v>
      </c>
      <c r="B162" s="223" t="s">
        <v>121</v>
      </c>
      <c r="C162" s="223" t="s">
        <v>111</v>
      </c>
      <c r="D162" s="227"/>
      <c r="E162" s="223" t="s">
        <v>121</v>
      </c>
      <c r="F162" s="224" t="s">
        <v>894</v>
      </c>
      <c r="H162" s="242" t="s">
        <v>1541</v>
      </c>
      <c r="I162" s="201" t="s">
        <v>1542</v>
      </c>
      <c r="J162" s="201" t="s">
        <v>1543</v>
      </c>
      <c r="K162" s="201" t="s">
        <v>1544</v>
      </c>
      <c r="L162" s="201" t="s">
        <v>1545</v>
      </c>
      <c r="M162" s="154" t="s">
        <v>2028</v>
      </c>
      <c r="N162" s="43" t="s">
        <v>908</v>
      </c>
    </row>
    <row r="163" spans="1:14" x14ac:dyDescent="0.2">
      <c r="A163" s="222" t="s">
        <v>1922</v>
      </c>
      <c r="B163" s="223" t="s">
        <v>1923</v>
      </c>
      <c r="C163" s="223" t="s">
        <v>111</v>
      </c>
      <c r="D163" s="227"/>
      <c r="E163" s="223" t="s">
        <v>1923</v>
      </c>
      <c r="F163" s="224" t="s">
        <v>1924</v>
      </c>
      <c r="H163" s="242" t="s">
        <v>1546</v>
      </c>
      <c r="I163" s="201" t="s">
        <v>1547</v>
      </c>
      <c r="J163" s="202" t="s">
        <v>2602</v>
      </c>
      <c r="K163" s="202" t="s">
        <v>2603</v>
      </c>
      <c r="L163" s="202" t="s">
        <v>2604</v>
      </c>
      <c r="M163" s="154" t="s">
        <v>2028</v>
      </c>
      <c r="N163" s="43" t="s">
        <v>908</v>
      </c>
    </row>
    <row r="164" spans="1:14" x14ac:dyDescent="0.2">
      <c r="A164" s="222" t="s">
        <v>1925</v>
      </c>
      <c r="B164" s="223" t="s">
        <v>1926</v>
      </c>
      <c r="C164" s="223" t="s">
        <v>111</v>
      </c>
      <c r="D164" s="227"/>
      <c r="E164" s="223" t="s">
        <v>1926</v>
      </c>
      <c r="F164" s="224" t="s">
        <v>1927</v>
      </c>
      <c r="H164" s="242" t="s">
        <v>1548</v>
      </c>
      <c r="I164" s="201" t="s">
        <v>1549</v>
      </c>
      <c r="J164" s="201" t="s">
        <v>1550</v>
      </c>
      <c r="K164" s="201" t="s">
        <v>1551</v>
      </c>
      <c r="L164" s="201" t="s">
        <v>1552</v>
      </c>
      <c r="M164" s="154" t="s">
        <v>2028</v>
      </c>
      <c r="N164" s="43" t="s">
        <v>908</v>
      </c>
    </row>
    <row r="165" spans="1:14" x14ac:dyDescent="0.2">
      <c r="A165" s="222" t="s">
        <v>2358</v>
      </c>
      <c r="B165" s="223" t="s">
        <v>120</v>
      </c>
      <c r="C165" s="223" t="s">
        <v>111</v>
      </c>
      <c r="D165" s="227"/>
      <c r="E165" s="223" t="s">
        <v>120</v>
      </c>
      <c r="F165" s="224" t="s">
        <v>895</v>
      </c>
      <c r="H165" s="242" t="s">
        <v>1671</v>
      </c>
      <c r="I165" s="201" t="s">
        <v>1672</v>
      </c>
      <c r="J165" s="201" t="s">
        <v>1673</v>
      </c>
      <c r="K165" s="201" t="s">
        <v>1674</v>
      </c>
      <c r="L165" s="201" t="s">
        <v>1675</v>
      </c>
      <c r="M165" s="154" t="s">
        <v>2028</v>
      </c>
      <c r="N165" s="43" t="s">
        <v>908</v>
      </c>
    </row>
    <row r="166" spans="1:14" x14ac:dyDescent="0.2">
      <c r="A166" s="222" t="s">
        <v>119</v>
      </c>
      <c r="B166" s="223" t="s">
        <v>118</v>
      </c>
      <c r="C166" s="223" t="s">
        <v>111</v>
      </c>
      <c r="D166" s="227"/>
      <c r="E166" s="223" t="s">
        <v>118</v>
      </c>
      <c r="F166" s="224" t="s">
        <v>896</v>
      </c>
      <c r="H166" s="242" t="s">
        <v>1666</v>
      </c>
      <c r="I166" s="201" t="s">
        <v>1667</v>
      </c>
      <c r="J166" s="201" t="s">
        <v>1668</v>
      </c>
      <c r="K166" s="201" t="s">
        <v>1669</v>
      </c>
      <c r="L166" s="201" t="s">
        <v>1670</v>
      </c>
      <c r="M166" s="154" t="s">
        <v>2028</v>
      </c>
      <c r="N166" s="43" t="s">
        <v>908</v>
      </c>
    </row>
    <row r="167" spans="1:14" x14ac:dyDescent="0.2">
      <c r="A167" s="222" t="s">
        <v>1928</v>
      </c>
      <c r="B167" s="223" t="s">
        <v>1929</v>
      </c>
      <c r="C167" s="223" t="s">
        <v>111</v>
      </c>
      <c r="D167" s="227"/>
      <c r="E167" s="223" t="s">
        <v>1929</v>
      </c>
      <c r="F167" s="224" t="s">
        <v>1930</v>
      </c>
      <c r="H167" s="242" t="s">
        <v>1553</v>
      </c>
      <c r="I167" s="201" t="s">
        <v>1554</v>
      </c>
      <c r="J167" s="201" t="s">
        <v>1555</v>
      </c>
      <c r="K167" s="201" t="s">
        <v>1556</v>
      </c>
      <c r="L167" s="201" t="s">
        <v>1557</v>
      </c>
      <c r="M167" s="154" t="s">
        <v>2028</v>
      </c>
      <c r="N167" s="43" t="s">
        <v>908</v>
      </c>
    </row>
    <row r="168" spans="1:14" x14ac:dyDescent="0.2">
      <c r="A168" s="222" t="s">
        <v>117</v>
      </c>
      <c r="B168" s="223" t="s">
        <v>116</v>
      </c>
      <c r="C168" s="223" t="s">
        <v>111</v>
      </c>
      <c r="D168" s="227"/>
      <c r="E168" s="223" t="s">
        <v>116</v>
      </c>
      <c r="F168" s="224" t="s">
        <v>897</v>
      </c>
      <c r="H168" s="242" t="s">
        <v>1558</v>
      </c>
      <c r="I168" s="201" t="s">
        <v>1559</v>
      </c>
      <c r="J168" s="201" t="s">
        <v>1560</v>
      </c>
      <c r="K168" s="201" t="s">
        <v>1561</v>
      </c>
      <c r="L168" s="201" t="s">
        <v>1562</v>
      </c>
      <c r="M168" s="154" t="s">
        <v>2028</v>
      </c>
      <c r="N168" s="43" t="s">
        <v>908</v>
      </c>
    </row>
    <row r="169" spans="1:14" x14ac:dyDescent="0.2">
      <c r="A169" s="222" t="s">
        <v>115</v>
      </c>
      <c r="B169" s="223" t="s">
        <v>114</v>
      </c>
      <c r="C169" s="223" t="s">
        <v>111</v>
      </c>
      <c r="D169" s="227"/>
      <c r="E169" s="223" t="s">
        <v>114</v>
      </c>
      <c r="F169" s="224" t="s">
        <v>898</v>
      </c>
      <c r="H169" s="242" t="s">
        <v>1563</v>
      </c>
      <c r="I169" s="201" t="s">
        <v>1564</v>
      </c>
      <c r="J169" s="201" t="s">
        <v>1565</v>
      </c>
      <c r="K169" s="201" t="s">
        <v>1566</v>
      </c>
      <c r="L169" s="201" t="s">
        <v>1567</v>
      </c>
      <c r="M169" s="154" t="s">
        <v>2028</v>
      </c>
      <c r="N169" s="43" t="s">
        <v>908</v>
      </c>
    </row>
    <row r="170" spans="1:14" x14ac:dyDescent="0.2">
      <c r="A170" s="222" t="s">
        <v>1931</v>
      </c>
      <c r="B170" s="223" t="s">
        <v>1932</v>
      </c>
      <c r="C170" s="223" t="s">
        <v>111</v>
      </c>
      <c r="D170" s="227"/>
      <c r="E170" s="223" t="s">
        <v>1932</v>
      </c>
      <c r="F170" s="224" t="s">
        <v>1933</v>
      </c>
      <c r="H170" s="242" t="s">
        <v>1656</v>
      </c>
      <c r="I170" s="201" t="s">
        <v>1657</v>
      </c>
      <c r="J170" s="201" t="s">
        <v>1658</v>
      </c>
      <c r="K170" s="201" t="s">
        <v>1659</v>
      </c>
      <c r="L170" s="201" t="s">
        <v>1660</v>
      </c>
      <c r="M170" s="154" t="s">
        <v>2028</v>
      </c>
      <c r="N170" s="43" t="s">
        <v>908</v>
      </c>
    </row>
    <row r="171" spans="1:14" x14ac:dyDescent="0.2">
      <c r="A171" s="222" t="s">
        <v>1934</v>
      </c>
      <c r="B171" s="223" t="s">
        <v>1935</v>
      </c>
      <c r="C171" s="223" t="s">
        <v>111</v>
      </c>
      <c r="D171" s="227"/>
      <c r="E171" s="223" t="s">
        <v>1935</v>
      </c>
      <c r="F171" s="224" t="s">
        <v>1936</v>
      </c>
      <c r="H171" s="242" t="s">
        <v>1704</v>
      </c>
      <c r="I171" s="201" t="s">
        <v>1705</v>
      </c>
      <c r="J171" s="201" t="s">
        <v>1706</v>
      </c>
      <c r="K171" s="201" t="s">
        <v>1707</v>
      </c>
      <c r="L171" s="201" t="s">
        <v>1708</v>
      </c>
      <c r="M171" s="154" t="s">
        <v>2028</v>
      </c>
      <c r="N171" s="43" t="s">
        <v>908</v>
      </c>
    </row>
    <row r="172" spans="1:14" x14ac:dyDescent="0.2">
      <c r="A172" s="222" t="s">
        <v>110</v>
      </c>
      <c r="B172" s="223" t="s">
        <v>109</v>
      </c>
      <c r="C172" s="223" t="s">
        <v>111</v>
      </c>
      <c r="D172" s="227"/>
      <c r="E172" s="223" t="s">
        <v>109</v>
      </c>
      <c r="F172" s="224" t="s">
        <v>900</v>
      </c>
      <c r="H172" s="242" t="s">
        <v>1699</v>
      </c>
      <c r="I172" s="201" t="s">
        <v>1700</v>
      </c>
      <c r="J172" s="201" t="s">
        <v>1701</v>
      </c>
      <c r="K172" s="201" t="s">
        <v>1702</v>
      </c>
      <c r="L172" s="201" t="s">
        <v>1703</v>
      </c>
      <c r="M172" s="154" t="s">
        <v>2028</v>
      </c>
      <c r="N172" s="43" t="s">
        <v>908</v>
      </c>
    </row>
    <row r="173" spans="1:14" x14ac:dyDescent="0.2">
      <c r="A173" s="222" t="s">
        <v>113</v>
      </c>
      <c r="B173" s="223" t="s">
        <v>112</v>
      </c>
      <c r="C173" s="223" t="s">
        <v>111</v>
      </c>
      <c r="D173" s="227"/>
      <c r="E173" s="223" t="s">
        <v>112</v>
      </c>
      <c r="F173" s="224" t="s">
        <v>899</v>
      </c>
      <c r="H173" s="242" t="s">
        <v>1709</v>
      </c>
      <c r="I173" s="201" t="s">
        <v>1710</v>
      </c>
      <c r="J173" s="201" t="s">
        <v>1711</v>
      </c>
      <c r="K173" s="201" t="s">
        <v>1712</v>
      </c>
      <c r="L173" s="201" t="s">
        <v>1713</v>
      </c>
      <c r="M173" s="154" t="s">
        <v>2028</v>
      </c>
      <c r="N173" s="43" t="s">
        <v>908</v>
      </c>
    </row>
    <row r="174" spans="1:14" x14ac:dyDescent="0.2">
      <c r="A174" s="222" t="s">
        <v>1937</v>
      </c>
      <c r="B174" s="223" t="s">
        <v>1938</v>
      </c>
      <c r="C174" s="223" t="s">
        <v>111</v>
      </c>
      <c r="D174" s="227"/>
      <c r="E174" s="223" t="s">
        <v>1938</v>
      </c>
      <c r="F174" s="224" t="s">
        <v>1939</v>
      </c>
      <c r="H174" s="242" t="s">
        <v>1676</v>
      </c>
      <c r="I174" s="201" t="s">
        <v>1677</v>
      </c>
      <c r="J174" s="201" t="s">
        <v>1678</v>
      </c>
      <c r="K174" s="201" t="s">
        <v>1679</v>
      </c>
      <c r="L174" s="201" t="s">
        <v>1680</v>
      </c>
      <c r="M174" s="154" t="s">
        <v>2028</v>
      </c>
      <c r="N174" s="43" t="s">
        <v>908</v>
      </c>
    </row>
    <row r="175" spans="1:14" x14ac:dyDescent="0.2">
      <c r="A175" s="222" t="s">
        <v>295</v>
      </c>
      <c r="B175" s="223" t="s">
        <v>294</v>
      </c>
      <c r="C175" s="223" t="s">
        <v>111</v>
      </c>
      <c r="D175" s="217"/>
      <c r="E175" s="223" t="s">
        <v>294</v>
      </c>
      <c r="F175" s="224" t="s">
        <v>848</v>
      </c>
      <c r="H175" s="242" t="s">
        <v>1681</v>
      </c>
      <c r="I175" s="201" t="s">
        <v>1682</v>
      </c>
      <c r="J175" s="201" t="s">
        <v>1683</v>
      </c>
      <c r="K175" s="201" t="s">
        <v>1684</v>
      </c>
      <c r="L175" s="201" t="s">
        <v>1685</v>
      </c>
      <c r="M175" s="154" t="s">
        <v>2028</v>
      </c>
      <c r="N175" s="43" t="s">
        <v>908</v>
      </c>
    </row>
    <row r="176" spans="1:14" x14ac:dyDescent="0.2">
      <c r="A176" s="233" t="s">
        <v>1940</v>
      </c>
      <c r="B176" s="234" t="s">
        <v>1941</v>
      </c>
      <c r="C176" s="234" t="s">
        <v>111</v>
      </c>
      <c r="D176" s="237"/>
      <c r="E176" s="234" t="s">
        <v>1941</v>
      </c>
      <c r="F176" s="236" t="s">
        <v>1942</v>
      </c>
      <c r="H176" s="242" t="s">
        <v>1568</v>
      </c>
      <c r="I176" s="201" t="s">
        <v>1569</v>
      </c>
      <c r="J176" s="201" t="s">
        <v>1570</v>
      </c>
      <c r="K176" s="201" t="s">
        <v>1571</v>
      </c>
      <c r="L176" s="201" t="s">
        <v>1572</v>
      </c>
      <c r="M176" s="154" t="s">
        <v>2028</v>
      </c>
      <c r="N176" s="43" t="s">
        <v>908</v>
      </c>
    </row>
    <row r="177" spans="8:14" x14ac:dyDescent="0.2">
      <c r="H177" s="242" t="s">
        <v>1573</v>
      </c>
      <c r="I177" s="201" t="s">
        <v>1574</v>
      </c>
      <c r="J177" s="201" t="s">
        <v>1575</v>
      </c>
      <c r="K177" s="201" t="s">
        <v>1576</v>
      </c>
      <c r="L177" s="201" t="s">
        <v>1577</v>
      </c>
      <c r="M177" s="154" t="s">
        <v>2028</v>
      </c>
      <c r="N177" s="43" t="s">
        <v>908</v>
      </c>
    </row>
    <row r="178" spans="8:14" x14ac:dyDescent="0.2">
      <c r="H178" s="242" t="s">
        <v>1578</v>
      </c>
      <c r="I178" s="201" t="s">
        <v>1579</v>
      </c>
      <c r="J178" s="201" t="s">
        <v>1580</v>
      </c>
      <c r="K178" s="201" t="s">
        <v>1581</v>
      </c>
      <c r="L178" s="201" t="s">
        <v>1582</v>
      </c>
      <c r="M178" s="154" t="s">
        <v>2028</v>
      </c>
      <c r="N178" s="43" t="s">
        <v>908</v>
      </c>
    </row>
    <row r="179" spans="8:14" x14ac:dyDescent="0.2">
      <c r="H179" s="242" t="s">
        <v>1686</v>
      </c>
      <c r="I179" s="201" t="s">
        <v>1687</v>
      </c>
      <c r="J179" s="201" t="s">
        <v>1688</v>
      </c>
      <c r="K179" s="201" t="s">
        <v>1689</v>
      </c>
      <c r="L179" s="201" t="s">
        <v>1690</v>
      </c>
      <c r="M179" s="154" t="s">
        <v>2028</v>
      </c>
      <c r="N179" s="43" t="s">
        <v>908</v>
      </c>
    </row>
    <row r="180" spans="8:14" x14ac:dyDescent="0.2">
      <c r="H180" s="242" t="s">
        <v>1691</v>
      </c>
      <c r="I180" s="202" t="s">
        <v>2605</v>
      </c>
      <c r="J180" s="201" t="s">
        <v>1692</v>
      </c>
      <c r="K180" s="201" t="s">
        <v>1693</v>
      </c>
      <c r="L180" s="201" t="s">
        <v>1694</v>
      </c>
      <c r="M180" s="154" t="s">
        <v>2028</v>
      </c>
      <c r="N180" s="43" t="s">
        <v>908</v>
      </c>
    </row>
    <row r="181" spans="8:14" x14ac:dyDescent="0.2">
      <c r="H181" s="242" t="s">
        <v>1714</v>
      </c>
      <c r="I181" s="201" t="s">
        <v>2606</v>
      </c>
      <c r="J181" s="201" t="s">
        <v>1715</v>
      </c>
      <c r="K181" s="201" t="s">
        <v>1716</v>
      </c>
      <c r="L181" s="201" t="s">
        <v>1717</v>
      </c>
      <c r="M181" s="154" t="s">
        <v>2028</v>
      </c>
      <c r="N181" s="43" t="s">
        <v>908</v>
      </c>
    </row>
    <row r="182" spans="8:14" x14ac:dyDescent="0.2">
      <c r="H182" s="242" t="s">
        <v>1695</v>
      </c>
      <c r="I182" s="202" t="s">
        <v>2607</v>
      </c>
      <c r="J182" s="201" t="s">
        <v>1696</v>
      </c>
      <c r="K182" s="201" t="s">
        <v>1697</v>
      </c>
      <c r="L182" s="201" t="s">
        <v>1698</v>
      </c>
      <c r="M182" s="154" t="s">
        <v>2028</v>
      </c>
      <c r="N182" s="43" t="s">
        <v>908</v>
      </c>
    </row>
    <row r="183" spans="8:14" x14ac:dyDescent="0.2">
      <c r="H183" s="242" t="s">
        <v>1583</v>
      </c>
      <c r="I183" s="201" t="s">
        <v>1584</v>
      </c>
      <c r="J183" s="201" t="s">
        <v>1585</v>
      </c>
      <c r="K183" s="201" t="s">
        <v>1586</v>
      </c>
      <c r="L183" s="201" t="s">
        <v>1587</v>
      </c>
      <c r="M183" s="154" t="s">
        <v>2028</v>
      </c>
      <c r="N183" s="43" t="s">
        <v>908</v>
      </c>
    </row>
    <row r="184" spans="8:14" x14ac:dyDescent="0.2">
      <c r="H184" s="242" t="s">
        <v>1588</v>
      </c>
      <c r="I184" s="201" t="s">
        <v>1589</v>
      </c>
      <c r="J184" s="201" t="s">
        <v>1590</v>
      </c>
      <c r="K184" s="201" t="s">
        <v>1591</v>
      </c>
      <c r="L184" s="201" t="s">
        <v>1592</v>
      </c>
      <c r="M184" s="154" t="s">
        <v>2028</v>
      </c>
      <c r="N184" s="43" t="s">
        <v>908</v>
      </c>
    </row>
    <row r="185" spans="8:14" x14ac:dyDescent="0.2">
      <c r="H185" s="242" t="s">
        <v>1593</v>
      </c>
      <c r="I185" s="201" t="s">
        <v>1594</v>
      </c>
      <c r="J185" s="201" t="s">
        <v>1595</v>
      </c>
      <c r="K185" s="201" t="s">
        <v>1596</v>
      </c>
      <c r="L185" s="201" t="s">
        <v>1597</v>
      </c>
      <c r="M185" s="154" t="s">
        <v>2028</v>
      </c>
      <c r="N185" s="43" t="s">
        <v>908</v>
      </c>
    </row>
    <row r="186" spans="8:14" x14ac:dyDescent="0.2">
      <c r="H186" s="242" t="s">
        <v>1598</v>
      </c>
      <c r="I186" s="201" t="s">
        <v>1599</v>
      </c>
      <c r="J186" s="201" t="s">
        <v>1600</v>
      </c>
      <c r="K186" s="201" t="s">
        <v>1601</v>
      </c>
      <c r="L186" s="201" t="s">
        <v>1602</v>
      </c>
      <c r="M186" s="154" t="s">
        <v>2028</v>
      </c>
      <c r="N186" s="43" t="s">
        <v>908</v>
      </c>
    </row>
    <row r="187" spans="8:14" x14ac:dyDescent="0.2">
      <c r="H187" s="242" t="s">
        <v>1608</v>
      </c>
      <c r="I187" s="202" t="s">
        <v>2608</v>
      </c>
      <c r="J187" s="201" t="s">
        <v>1609</v>
      </c>
      <c r="K187" s="201" t="s">
        <v>1610</v>
      </c>
      <c r="L187" s="201" t="s">
        <v>1611</v>
      </c>
      <c r="M187" s="154" t="s">
        <v>2028</v>
      </c>
      <c r="N187" s="43" t="s">
        <v>908</v>
      </c>
    </row>
    <row r="188" spans="8:14" x14ac:dyDescent="0.2">
      <c r="H188" s="242" t="s">
        <v>1718</v>
      </c>
      <c r="I188" s="201" t="s">
        <v>1719</v>
      </c>
      <c r="J188" s="201" t="s">
        <v>1720</v>
      </c>
      <c r="K188" s="201" t="s">
        <v>1721</v>
      </c>
      <c r="L188" s="201" t="s">
        <v>1722</v>
      </c>
      <c r="M188" s="154" t="s">
        <v>2028</v>
      </c>
      <c r="N188" s="43" t="s">
        <v>908</v>
      </c>
    </row>
    <row r="189" spans="8:14" x14ac:dyDescent="0.2">
      <c r="H189" s="242" t="s">
        <v>1627</v>
      </c>
      <c r="I189" s="201" t="s">
        <v>1628</v>
      </c>
      <c r="J189" s="201" t="s">
        <v>1629</v>
      </c>
      <c r="K189" s="201" t="s">
        <v>1630</v>
      </c>
      <c r="L189" s="201" t="s">
        <v>1631</v>
      </c>
      <c r="M189" s="154" t="s">
        <v>2028</v>
      </c>
      <c r="N189" s="43" t="s">
        <v>908</v>
      </c>
    </row>
    <row r="190" spans="8:14" x14ac:dyDescent="0.2">
      <c r="H190" s="242" t="s">
        <v>1622</v>
      </c>
      <c r="I190" s="201" t="s">
        <v>1623</v>
      </c>
      <c r="J190" s="201" t="s">
        <v>1624</v>
      </c>
      <c r="K190" s="201" t="s">
        <v>1625</v>
      </c>
      <c r="L190" s="201" t="s">
        <v>1626</v>
      </c>
      <c r="M190" s="154" t="s">
        <v>2028</v>
      </c>
      <c r="N190" s="43" t="s">
        <v>908</v>
      </c>
    </row>
    <row r="191" spans="8:14" x14ac:dyDescent="0.2">
      <c r="H191" s="242" t="s">
        <v>1632</v>
      </c>
      <c r="I191" s="201" t="s">
        <v>1633</v>
      </c>
      <c r="J191" s="201" t="s">
        <v>1634</v>
      </c>
      <c r="K191" s="201" t="s">
        <v>1635</v>
      </c>
      <c r="L191" s="201" t="s">
        <v>1636</v>
      </c>
      <c r="M191" s="154" t="s">
        <v>2028</v>
      </c>
      <c r="N191" s="43" t="s">
        <v>908</v>
      </c>
    </row>
    <row r="192" spans="8:14" x14ac:dyDescent="0.2">
      <c r="H192" s="242" t="s">
        <v>1637</v>
      </c>
      <c r="I192" s="202" t="s">
        <v>2609</v>
      </c>
      <c r="J192" s="201" t="s">
        <v>1638</v>
      </c>
      <c r="K192" s="201" t="s">
        <v>1639</v>
      </c>
      <c r="L192" s="201" t="s">
        <v>1640</v>
      </c>
      <c r="M192" s="154" t="s">
        <v>2028</v>
      </c>
      <c r="N192" s="43" t="s">
        <v>908</v>
      </c>
    </row>
    <row r="193" spans="8:14" x14ac:dyDescent="0.2">
      <c r="H193" s="242" t="s">
        <v>1723</v>
      </c>
      <c r="I193" s="201" t="s">
        <v>1724</v>
      </c>
      <c r="J193" s="201" t="s">
        <v>1725</v>
      </c>
      <c r="K193" s="201" t="s">
        <v>1726</v>
      </c>
      <c r="L193" s="201" t="s">
        <v>1727</v>
      </c>
      <c r="M193" s="154" t="s">
        <v>2028</v>
      </c>
      <c r="N193" s="43" t="s">
        <v>908</v>
      </c>
    </row>
    <row r="194" spans="8:14" x14ac:dyDescent="0.2">
      <c r="H194" s="242" t="s">
        <v>1728</v>
      </c>
      <c r="I194" s="201" t="s">
        <v>1729</v>
      </c>
      <c r="J194" s="201" t="s">
        <v>2610</v>
      </c>
      <c r="K194" s="201" t="s">
        <v>2611</v>
      </c>
      <c r="L194" s="201" t="s">
        <v>2612</v>
      </c>
      <c r="M194" s="150" t="s">
        <v>2028</v>
      </c>
      <c r="N194" s="156" t="s">
        <v>909</v>
      </c>
    </row>
    <row r="195" spans="8:14" x14ac:dyDescent="0.2">
      <c r="H195" s="242" t="s">
        <v>1382</v>
      </c>
      <c r="I195" s="202" t="s">
        <v>2613</v>
      </c>
      <c r="J195" s="201" t="s">
        <v>1383</v>
      </c>
      <c r="K195" s="201" t="s">
        <v>1384</v>
      </c>
      <c r="L195" s="201" t="s">
        <v>1385</v>
      </c>
      <c r="M195" s="154" t="s">
        <v>2029</v>
      </c>
      <c r="N195" s="43" t="s">
        <v>908</v>
      </c>
    </row>
    <row r="196" spans="8:14" x14ac:dyDescent="0.2">
      <c r="H196" s="242" t="s">
        <v>1386</v>
      </c>
      <c r="I196" s="201" t="s">
        <v>1387</v>
      </c>
      <c r="J196" s="201" t="s">
        <v>1388</v>
      </c>
      <c r="K196" s="201" t="s">
        <v>1389</v>
      </c>
      <c r="L196" s="201" t="s">
        <v>1390</v>
      </c>
      <c r="M196" s="154" t="s">
        <v>2029</v>
      </c>
      <c r="N196" s="43" t="s">
        <v>908</v>
      </c>
    </row>
    <row r="197" spans="8:14" x14ac:dyDescent="0.2">
      <c r="H197" s="242" t="s">
        <v>1391</v>
      </c>
      <c r="I197" s="201" t="s">
        <v>1392</v>
      </c>
      <c r="J197" s="201" t="s">
        <v>1393</v>
      </c>
      <c r="K197" s="201" t="s">
        <v>1394</v>
      </c>
      <c r="L197" s="201" t="s">
        <v>1395</v>
      </c>
      <c r="M197" s="154" t="s">
        <v>2029</v>
      </c>
      <c r="N197" s="43" t="s">
        <v>908</v>
      </c>
    </row>
    <row r="198" spans="8:14" x14ac:dyDescent="0.2">
      <c r="H198" s="242" t="s">
        <v>1396</v>
      </c>
      <c r="I198" s="201" t="s">
        <v>1397</v>
      </c>
      <c r="J198" s="201" t="s">
        <v>1398</v>
      </c>
      <c r="K198" s="201" t="s">
        <v>1399</v>
      </c>
      <c r="L198" s="201" t="s">
        <v>1400</v>
      </c>
      <c r="M198" s="154" t="s">
        <v>2029</v>
      </c>
      <c r="N198" s="43" t="s">
        <v>908</v>
      </c>
    </row>
    <row r="199" spans="8:14" x14ac:dyDescent="0.2">
      <c r="H199" s="242" t="s">
        <v>1401</v>
      </c>
      <c r="I199" s="201" t="s">
        <v>1402</v>
      </c>
      <c r="J199" s="201" t="s">
        <v>1403</v>
      </c>
      <c r="K199" s="201" t="s">
        <v>1404</v>
      </c>
      <c r="L199" s="201" t="s">
        <v>1405</v>
      </c>
      <c r="M199" s="154" t="s">
        <v>2029</v>
      </c>
      <c r="N199" s="43" t="s">
        <v>908</v>
      </c>
    </row>
    <row r="200" spans="8:14" x14ac:dyDescent="0.2">
      <c r="H200" s="242" t="s">
        <v>1406</v>
      </c>
      <c r="I200" s="201" t="s">
        <v>1407</v>
      </c>
      <c r="J200" s="201" t="s">
        <v>1408</v>
      </c>
      <c r="K200" s="201" t="s">
        <v>1409</v>
      </c>
      <c r="L200" s="201" t="s">
        <v>1410</v>
      </c>
      <c r="M200" s="154" t="s">
        <v>2029</v>
      </c>
      <c r="N200" s="43" t="s">
        <v>908</v>
      </c>
    </row>
    <row r="201" spans="8:14" x14ac:dyDescent="0.2">
      <c r="H201" s="242" t="s">
        <v>1411</v>
      </c>
      <c r="I201" s="201" t="s">
        <v>1412</v>
      </c>
      <c r="J201" s="201" t="s">
        <v>1413</v>
      </c>
      <c r="K201" s="201" t="s">
        <v>1414</v>
      </c>
      <c r="L201" s="201" t="s">
        <v>1415</v>
      </c>
      <c r="M201" s="154" t="s">
        <v>2029</v>
      </c>
      <c r="N201" s="43" t="s">
        <v>908</v>
      </c>
    </row>
    <row r="202" spans="8:14" x14ac:dyDescent="0.2">
      <c r="H202" s="242" t="s">
        <v>1416</v>
      </c>
      <c r="I202" s="201" t="s">
        <v>1417</v>
      </c>
      <c r="J202" s="201" t="s">
        <v>1418</v>
      </c>
      <c r="K202" s="201" t="s">
        <v>1419</v>
      </c>
      <c r="L202" s="201" t="s">
        <v>1420</v>
      </c>
      <c r="M202" s="154" t="s">
        <v>2029</v>
      </c>
      <c r="N202" s="43" t="s">
        <v>908</v>
      </c>
    </row>
    <row r="203" spans="8:14" x14ac:dyDescent="0.2">
      <c r="H203" s="242" t="s">
        <v>1421</v>
      </c>
      <c r="I203" s="201" t="s">
        <v>1422</v>
      </c>
      <c r="J203" s="201" t="s">
        <v>1423</v>
      </c>
      <c r="K203" s="201" t="s">
        <v>1424</v>
      </c>
      <c r="L203" s="201" t="s">
        <v>1425</v>
      </c>
      <c r="M203" s="154" t="s">
        <v>2029</v>
      </c>
      <c r="N203" s="43" t="s">
        <v>908</v>
      </c>
    </row>
    <row r="204" spans="8:14" x14ac:dyDescent="0.2">
      <c r="H204" s="242" t="s">
        <v>1426</v>
      </c>
      <c r="I204" s="201" t="s">
        <v>1427</v>
      </c>
      <c r="J204" s="201" t="s">
        <v>1428</v>
      </c>
      <c r="K204" s="201" t="s">
        <v>1429</v>
      </c>
      <c r="L204" s="201" t="s">
        <v>1430</v>
      </c>
      <c r="M204" s="154" t="s">
        <v>2029</v>
      </c>
      <c r="N204" s="43" t="s">
        <v>908</v>
      </c>
    </row>
    <row r="205" spans="8:14" x14ac:dyDescent="0.2">
      <c r="H205" s="242" t="s">
        <v>1431</v>
      </c>
      <c r="I205" s="201" t="s">
        <v>1432</v>
      </c>
      <c r="J205" s="201" t="s">
        <v>1433</v>
      </c>
      <c r="K205" s="201" t="s">
        <v>1434</v>
      </c>
      <c r="L205" s="201" t="s">
        <v>1435</v>
      </c>
      <c r="M205" s="154" t="s">
        <v>2029</v>
      </c>
      <c r="N205" s="43" t="s">
        <v>908</v>
      </c>
    </row>
    <row r="206" spans="8:14" x14ac:dyDescent="0.2">
      <c r="H206" s="242" t="s">
        <v>1436</v>
      </c>
      <c r="I206" s="201" t="s">
        <v>1437</v>
      </c>
      <c r="J206" s="201" t="s">
        <v>1438</v>
      </c>
      <c r="K206" s="201" t="s">
        <v>1439</v>
      </c>
      <c r="L206" s="201" t="s">
        <v>1440</v>
      </c>
      <c r="M206" s="154" t="s">
        <v>2029</v>
      </c>
      <c r="N206" s="43" t="s">
        <v>908</v>
      </c>
    </row>
    <row r="207" spans="8:14" x14ac:dyDescent="0.2">
      <c r="H207" s="242" t="s">
        <v>1441</v>
      </c>
      <c r="I207" s="201" t="s">
        <v>1442</v>
      </c>
      <c r="J207" s="201" t="s">
        <v>1443</v>
      </c>
      <c r="K207" s="201" t="s">
        <v>1444</v>
      </c>
      <c r="L207" s="201" t="s">
        <v>1445</v>
      </c>
      <c r="M207" s="154" t="s">
        <v>2029</v>
      </c>
      <c r="N207" s="43" t="s">
        <v>908</v>
      </c>
    </row>
    <row r="208" spans="8:14" x14ac:dyDescent="0.2">
      <c r="H208" s="242" t="s">
        <v>1446</v>
      </c>
      <c r="I208" s="201" t="s">
        <v>1447</v>
      </c>
      <c r="J208" s="201" t="s">
        <v>1448</v>
      </c>
      <c r="K208" s="201" t="s">
        <v>1449</v>
      </c>
      <c r="L208" s="201" t="s">
        <v>1450</v>
      </c>
      <c r="M208" s="154" t="s">
        <v>2029</v>
      </c>
      <c r="N208" s="43" t="s">
        <v>908</v>
      </c>
    </row>
    <row r="209" spans="8:14" x14ac:dyDescent="0.2">
      <c r="H209" s="242" t="s">
        <v>1451</v>
      </c>
      <c r="I209" s="201" t="s">
        <v>1452</v>
      </c>
      <c r="J209" s="201" t="s">
        <v>1453</v>
      </c>
      <c r="K209" s="201" t="s">
        <v>1454</v>
      </c>
      <c r="L209" s="201" t="s">
        <v>1455</v>
      </c>
      <c r="M209" s="154" t="s">
        <v>2029</v>
      </c>
      <c r="N209" s="43" t="s">
        <v>908</v>
      </c>
    </row>
    <row r="210" spans="8:14" x14ac:dyDescent="0.2">
      <c r="H210" s="242" t="s">
        <v>1456</v>
      </c>
      <c r="I210" s="201" t="s">
        <v>1457</v>
      </c>
      <c r="J210" s="201" t="s">
        <v>1458</v>
      </c>
      <c r="K210" s="201" t="s">
        <v>1459</v>
      </c>
      <c r="L210" s="201" t="s">
        <v>1460</v>
      </c>
      <c r="M210" s="154" t="s">
        <v>2029</v>
      </c>
      <c r="N210" s="43" t="s">
        <v>908</v>
      </c>
    </row>
    <row r="211" spans="8:14" x14ac:dyDescent="0.2">
      <c r="H211" s="242" t="s">
        <v>1461</v>
      </c>
      <c r="I211" s="201" t="s">
        <v>1462</v>
      </c>
      <c r="J211" s="201" t="s">
        <v>1463</v>
      </c>
      <c r="K211" s="201" t="s">
        <v>1464</v>
      </c>
      <c r="L211" s="201" t="s">
        <v>1465</v>
      </c>
      <c r="M211" s="154" t="s">
        <v>2029</v>
      </c>
      <c r="N211" s="43" t="s">
        <v>908</v>
      </c>
    </row>
    <row r="212" spans="8:14" x14ac:dyDescent="0.2">
      <c r="H212" s="242" t="s">
        <v>1466</v>
      </c>
      <c r="I212" s="201" t="s">
        <v>1467</v>
      </c>
      <c r="J212" s="201" t="s">
        <v>1468</v>
      </c>
      <c r="K212" s="201" t="s">
        <v>1469</v>
      </c>
      <c r="L212" s="201" t="s">
        <v>1470</v>
      </c>
      <c r="M212" s="154" t="s">
        <v>2029</v>
      </c>
      <c r="N212" s="43" t="s">
        <v>908</v>
      </c>
    </row>
    <row r="213" spans="8:14" x14ac:dyDescent="0.2">
      <c r="H213" s="242" t="s">
        <v>1471</v>
      </c>
      <c r="I213" s="201" t="s">
        <v>1472</v>
      </c>
      <c r="J213" s="201" t="s">
        <v>1473</v>
      </c>
      <c r="K213" s="201" t="s">
        <v>1474</v>
      </c>
      <c r="L213" s="201" t="s">
        <v>1475</v>
      </c>
      <c r="M213" s="154" t="s">
        <v>2029</v>
      </c>
      <c r="N213" s="43" t="s">
        <v>908</v>
      </c>
    </row>
    <row r="214" spans="8:14" x14ac:dyDescent="0.2">
      <c r="H214" s="242" t="s">
        <v>1476</v>
      </c>
      <c r="I214" s="201" t="s">
        <v>1477</v>
      </c>
      <c r="J214" s="201" t="s">
        <v>1478</v>
      </c>
      <c r="K214" s="201" t="s">
        <v>1479</v>
      </c>
      <c r="L214" s="201" t="s">
        <v>1480</v>
      </c>
      <c r="M214" s="154" t="s">
        <v>2029</v>
      </c>
      <c r="N214" s="43" t="s">
        <v>908</v>
      </c>
    </row>
    <row r="215" spans="8:14" x14ac:dyDescent="0.2">
      <c r="H215" s="242" t="s">
        <v>1481</v>
      </c>
      <c r="I215" s="201" t="s">
        <v>1482</v>
      </c>
      <c r="J215" s="201" t="s">
        <v>1483</v>
      </c>
      <c r="K215" s="201" t="s">
        <v>1484</v>
      </c>
      <c r="L215" s="201" t="s">
        <v>1485</v>
      </c>
      <c r="M215" s="154" t="s">
        <v>2029</v>
      </c>
      <c r="N215" s="43" t="s">
        <v>908</v>
      </c>
    </row>
    <row r="216" spans="8:14" x14ac:dyDescent="0.2">
      <c r="H216" s="242" t="s">
        <v>1486</v>
      </c>
      <c r="I216" s="201" t="s">
        <v>1487</v>
      </c>
      <c r="J216" s="201" t="s">
        <v>1488</v>
      </c>
      <c r="K216" s="201" t="s">
        <v>1489</v>
      </c>
      <c r="L216" s="201" t="s">
        <v>1490</v>
      </c>
      <c r="M216" s="154" t="s">
        <v>2029</v>
      </c>
      <c r="N216" s="43" t="s">
        <v>908</v>
      </c>
    </row>
    <row r="217" spans="8:14" x14ac:dyDescent="0.2">
      <c r="H217" s="242" t="s">
        <v>1491</v>
      </c>
      <c r="I217" s="201" t="s">
        <v>1492</v>
      </c>
      <c r="J217" s="201" t="s">
        <v>1493</v>
      </c>
      <c r="K217" s="201" t="s">
        <v>1494</v>
      </c>
      <c r="L217" s="201" t="s">
        <v>1495</v>
      </c>
      <c r="M217" s="154" t="s">
        <v>2029</v>
      </c>
      <c r="N217" s="43" t="s">
        <v>908</v>
      </c>
    </row>
    <row r="218" spans="8:14" x14ac:dyDescent="0.2">
      <c r="H218" s="242" t="s">
        <v>1496</v>
      </c>
      <c r="I218" s="201" t="s">
        <v>1497</v>
      </c>
      <c r="J218" s="201" t="s">
        <v>1498</v>
      </c>
      <c r="K218" s="201" t="s">
        <v>1499</v>
      </c>
      <c r="L218" s="201" t="s">
        <v>1500</v>
      </c>
      <c r="M218" s="154" t="s">
        <v>2029</v>
      </c>
      <c r="N218" s="43" t="s">
        <v>908</v>
      </c>
    </row>
    <row r="219" spans="8:14" x14ac:dyDescent="0.2">
      <c r="H219" s="242" t="s">
        <v>1501</v>
      </c>
      <c r="I219" s="201" t="s">
        <v>1502</v>
      </c>
      <c r="J219" s="201" t="s">
        <v>1503</v>
      </c>
      <c r="K219" s="201" t="s">
        <v>1504</v>
      </c>
      <c r="L219" s="201" t="s">
        <v>1505</v>
      </c>
      <c r="M219" s="154" t="s">
        <v>2029</v>
      </c>
      <c r="N219" s="43" t="s">
        <v>908</v>
      </c>
    </row>
    <row r="220" spans="8:14" x14ac:dyDescent="0.2">
      <c r="H220" s="242" t="s">
        <v>1506</v>
      </c>
      <c r="I220" s="201" t="s">
        <v>1507</v>
      </c>
      <c r="J220" s="201" t="s">
        <v>1508</v>
      </c>
      <c r="K220" s="201" t="s">
        <v>1509</v>
      </c>
      <c r="L220" s="201" t="s">
        <v>1510</v>
      </c>
      <c r="M220" s="154" t="s">
        <v>2029</v>
      </c>
      <c r="N220" s="43" t="s">
        <v>908</v>
      </c>
    </row>
    <row r="221" spans="8:14" x14ac:dyDescent="0.2">
      <c r="H221" s="242" t="s">
        <v>1511</v>
      </c>
      <c r="I221" s="201" t="s">
        <v>1512</v>
      </c>
      <c r="J221" s="201" t="s">
        <v>2614</v>
      </c>
      <c r="K221" s="201" t="s">
        <v>2615</v>
      </c>
      <c r="L221" s="201" t="s">
        <v>2616</v>
      </c>
      <c r="M221" s="154" t="s">
        <v>2029</v>
      </c>
      <c r="N221" s="155" t="s">
        <v>910</v>
      </c>
    </row>
    <row r="222" spans="8:14" x14ac:dyDescent="0.2">
      <c r="H222" s="242" t="s">
        <v>1513</v>
      </c>
      <c r="I222" s="201" t="s">
        <v>1514</v>
      </c>
      <c r="J222" s="201" t="s">
        <v>2617</v>
      </c>
      <c r="K222" s="201"/>
      <c r="L222" s="201"/>
      <c r="M222" s="154" t="s">
        <v>2029</v>
      </c>
      <c r="N222" s="155" t="s">
        <v>910</v>
      </c>
    </row>
    <row r="223" spans="8:14" x14ac:dyDescent="0.2">
      <c r="H223" s="252" t="s">
        <v>1515</v>
      </c>
      <c r="I223" s="249" t="s">
        <v>1516</v>
      </c>
      <c r="J223" s="249" t="s">
        <v>2618</v>
      </c>
      <c r="K223" s="249" t="s">
        <v>2619</v>
      </c>
      <c r="L223" s="249" t="s">
        <v>2620</v>
      </c>
      <c r="M223" s="150" t="s">
        <v>2029</v>
      </c>
      <c r="N223" s="156" t="s">
        <v>909</v>
      </c>
    </row>
  </sheetData>
  <sheetProtection algorithmName="SHA-512" hashValue="twY1NF0S3xkpykdo0Tq4+WaAp5rhgLcmN5Cc3KWsNyjzdsL3Fc8VKUYiOVwglzFmWormqM21yx5xt5tU1jWizg==" saltValue="xUGlajaXHqHaCNViJrCMtA==" spinCount="100000" sheet="1" objects="1" scenarios="1"/>
  <sortState xmlns:xlrd2="http://schemas.microsoft.com/office/spreadsheetml/2017/richdata2" ref="Y44:Z45">
    <sortCondition ref="Y44"/>
  </sortState>
  <mergeCells count="45">
    <mergeCell ref="A1:F1"/>
    <mergeCell ref="H1:N1"/>
    <mergeCell ref="Y41:Z41"/>
    <mergeCell ref="U1:W1"/>
    <mergeCell ref="AB1:AD1"/>
    <mergeCell ref="AB10:AD10"/>
    <mergeCell ref="Y34:Z34"/>
    <mergeCell ref="Y23:Z23"/>
    <mergeCell ref="P1:S1"/>
    <mergeCell ref="R3:R4"/>
    <mergeCell ref="S3:S7"/>
    <mergeCell ref="R5:R6"/>
    <mergeCell ref="R8:R15"/>
    <mergeCell ref="S8:S26"/>
    <mergeCell ref="R16:R26"/>
    <mergeCell ref="U54:V54"/>
    <mergeCell ref="U67:V67"/>
    <mergeCell ref="Y10:Z10"/>
    <mergeCell ref="U78:V78"/>
    <mergeCell ref="Y1:Z1"/>
    <mergeCell ref="Y50:Z50"/>
    <mergeCell ref="Y56:Z56"/>
    <mergeCell ref="S77:S85"/>
    <mergeCell ref="R27:R39"/>
    <mergeCell ref="S27:S39"/>
    <mergeCell ref="R40:R46"/>
    <mergeCell ref="S40:S51"/>
    <mergeCell ref="R47:R51"/>
    <mergeCell ref="R52:R67"/>
    <mergeCell ref="R113:R114"/>
    <mergeCell ref="S113:S121"/>
    <mergeCell ref="R115:R118"/>
    <mergeCell ref="S52:S67"/>
    <mergeCell ref="R99:R103"/>
    <mergeCell ref="R95:R98"/>
    <mergeCell ref="S95:S103"/>
    <mergeCell ref="R86:R94"/>
    <mergeCell ref="S86:S94"/>
    <mergeCell ref="R104:R107"/>
    <mergeCell ref="S104:S112"/>
    <mergeCell ref="R108:R112"/>
    <mergeCell ref="R68:R73"/>
    <mergeCell ref="S68:S76"/>
    <mergeCell ref="R74:R75"/>
    <mergeCell ref="R77:R85"/>
  </mergeCells>
  <pageMargins left="0.45" right="0.44" top="0.36" bottom="0.4" header="0.23" footer="0.32"/>
  <pageSetup paperSize="9" scale="54" fitToWidth="3" orientation="portrait" r:id="rId1"/>
  <headerFooter alignWithMargins="0"/>
  <colBreaks count="1" manualBreakCount="1">
    <brk id="20" max="1048575" man="1"/>
  </col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H79"/>
  <sheetViews>
    <sheetView showGridLines="0" zoomScaleNormal="100" workbookViewId="0">
      <pane ySplit="10" topLeftCell="A11" activePane="bottomLeft" state="frozen"/>
      <selection pane="bottomLeft" activeCell="F57" sqref="F57"/>
    </sheetView>
  </sheetViews>
  <sheetFormatPr defaultColWidth="10.125" defaultRowHeight="11.55" x14ac:dyDescent="0.25"/>
  <cols>
    <col min="1" max="1" width="8.5" style="23" customWidth="1"/>
    <col min="2" max="3" width="7.75" style="23" customWidth="1"/>
    <col min="4" max="4" width="15.75" style="23" customWidth="1"/>
    <col min="5" max="5" width="13" style="23" customWidth="1"/>
    <col min="6" max="6" width="25.75" style="23" customWidth="1"/>
    <col min="7" max="7" width="16" style="50" bestFit="1" customWidth="1"/>
    <col min="8" max="8" width="91.5" style="23" customWidth="1"/>
    <col min="9" max="16384" width="10.125" style="23"/>
  </cols>
  <sheetData>
    <row r="1" spans="1:8" ht="16.3" x14ac:dyDescent="0.25">
      <c r="A1" s="349" t="str">
        <f>VLOOKUP("G00",tblTrans3Langs[],LangNameID,FALSE) &amp;" ( "&amp;idiom&amp;" )"</f>
        <v>Instructions to complete the form ( ENG )</v>
      </c>
      <c r="B1" s="349"/>
      <c r="C1" s="349"/>
      <c r="D1" s="349"/>
      <c r="E1" s="349"/>
      <c r="F1" s="349"/>
      <c r="G1" s="349"/>
      <c r="H1" s="349"/>
    </row>
    <row r="2" spans="1:8" x14ac:dyDescent="0.25">
      <c r="A2" s="348" t="str">
        <f>VLOOKUP("G01",tblTrans3Langs[],LangFieldID,FALSE)</f>
        <v>General</v>
      </c>
      <c r="B2" s="348"/>
      <c r="C2" s="348"/>
      <c r="D2" s="348"/>
      <c r="E2" s="348"/>
    </row>
    <row r="3" spans="1:8" x14ac:dyDescent="0.25">
      <c r="A3" s="23" t="s">
        <v>731</v>
      </c>
      <c r="B3" s="325" t="str">
        <f>VLOOKUP("G01a",tblTrans3Langs[],LangNameID,FALSE)</f>
        <v>Complete as far as possible the Header and Detail sections (don't leave fields empty when information is known)</v>
      </c>
      <c r="C3" s="325"/>
      <c r="D3" s="325"/>
      <c r="E3" s="325"/>
      <c r="F3" s="325"/>
      <c r="G3" s="325"/>
      <c r="H3" s="325"/>
    </row>
    <row r="4" spans="1:8" x14ac:dyDescent="0.25">
      <c r="A4" s="23" t="s">
        <v>732</v>
      </c>
      <c r="B4" s="325" t="str">
        <f>VLOOKUP("G01b",tblTrans3Langs[],LangNameID,FALSE)</f>
        <v>In Header section, only white cells can be filled (manually or by selecting from the Combo Box the corresponding code)</v>
      </c>
      <c r="C4" s="325"/>
      <c r="D4" s="325"/>
      <c r="E4" s="325"/>
      <c r="F4" s="325"/>
      <c r="G4" s="325"/>
      <c r="H4" s="325"/>
    </row>
    <row r="5" spans="1:8" x14ac:dyDescent="0.25">
      <c r="A5" s="23" t="s">
        <v>733</v>
      </c>
      <c r="B5" s="325" t="str">
        <f>VLOOKUP("G01c",tblTrans3Langs[],LangNameID,FALSE)</f>
        <v>Always use ICCAT standard codes (when element "OTHERS" of various fields is required it must be explicitly described in "Notes")</v>
      </c>
      <c r="C5" s="325"/>
      <c r="D5" s="325"/>
      <c r="E5" s="325"/>
      <c r="F5" s="325"/>
      <c r="G5" s="325"/>
      <c r="H5" s="325"/>
    </row>
    <row r="6" spans="1:8" x14ac:dyDescent="0.25">
      <c r="A6" s="23" t="s">
        <v>734</v>
      </c>
      <c r="B6" s="325" t="str">
        <f>VLOOKUP("G01d",tblTrans3Langs[],LangNameID,FALSE)</f>
        <v>Recommendation for users with databases: To paste an entire dataset into the Detail section (must have the same structure and format) use "Paste special (values)"</v>
      </c>
      <c r="C6" s="325"/>
      <c r="D6" s="325"/>
      <c r="E6" s="325"/>
      <c r="F6" s="325"/>
      <c r="G6" s="325"/>
      <c r="H6" s="325"/>
    </row>
    <row r="7" spans="1:8" x14ac:dyDescent="0.25">
      <c r="A7" s="23" t="s">
        <v>735</v>
      </c>
      <c r="B7" s="325" t="str">
        <f>VLOOKUP("G01e",tblTrans3Langs[],LangNameID,FALSE)</f>
        <v>Leave "blank" the fields for which you don't collect information</v>
      </c>
      <c r="C7" s="325"/>
      <c r="D7" s="325"/>
      <c r="E7" s="325"/>
      <c r="F7" s="325"/>
      <c r="G7" s="325"/>
      <c r="H7" s="325"/>
    </row>
    <row r="8" spans="1:8" x14ac:dyDescent="0.25">
      <c r="B8" s="24"/>
      <c r="C8" s="24"/>
      <c r="D8" s="24"/>
      <c r="E8" s="24"/>
    </row>
    <row r="9" spans="1:8" x14ac:dyDescent="0.25">
      <c r="A9" s="340" t="str">
        <f>VLOOKUP("S00",tblTrans3Langs[],LangFieldID,FALSE)</f>
        <v>Specific (by field)</v>
      </c>
      <c r="B9" s="340"/>
      <c r="C9" s="340"/>
      <c r="D9" s="340"/>
      <c r="E9" s="340"/>
    </row>
    <row r="10" spans="1:8" s="24" customFormat="1" x14ac:dyDescent="0.25">
      <c r="A10" s="46" t="str">
        <f>VLOOKUP("SC01",tblTrans3Langs[],LangFieldID,FALSE)</f>
        <v>Form</v>
      </c>
      <c r="B10" s="47" t="str">
        <f>VLOOKUP("SC02",tblTrans3Langs[],LangFieldID,FALSE)</f>
        <v>Sub-form</v>
      </c>
      <c r="C10" s="47" t="str">
        <f>VLOOKUP("SC03",tblTrans3Langs[],LangFieldID,FALSE)</f>
        <v>Part</v>
      </c>
      <c r="D10" s="48" t="str">
        <f>VLOOKUP("SC04",tblTrans3Langs[],LangFieldID,FALSE)</f>
        <v>Section</v>
      </c>
      <c r="E10" s="49" t="str">
        <f>VLOOKUP("SC05",tblTrans3Langs[],LangFieldID,FALSE)</f>
        <v>Sub-section</v>
      </c>
      <c r="F10" s="51" t="str">
        <f>VLOOKUP("SC06",tblTrans3Langs[],LangFieldID,FALSE)</f>
        <v>Field (name)</v>
      </c>
      <c r="G10" s="51" t="str">
        <f>VLOOKUP("SC07",tblTrans3Langs[],LangFieldID,FALSE)</f>
        <v>Field (format)</v>
      </c>
      <c r="H10" s="47" t="str">
        <f>VLOOKUP("SC08",tblTrans3Langs[],LangFieldID,FALSE)</f>
        <v>Description</v>
      </c>
    </row>
    <row r="11" spans="1:8" s="24" customFormat="1" x14ac:dyDescent="0.25">
      <c r="A11" s="359" t="str">
        <f>VLOOKUP("T00",tblTrans3Langs[],LangFieldID,FALSE)</f>
        <v>ST04-T2SZ</v>
      </c>
      <c r="B11" s="338" t="str">
        <f>VLOOKUP("T03",tblTrans3Langs[],LangFieldID,FALSE)</f>
        <v>ST04A</v>
      </c>
      <c r="C11" s="329" t="str">
        <f>VLOOKUP("T02",tblTrans3Langs[],LangFieldID,FALSE)</f>
        <v>Title</v>
      </c>
      <c r="D11" s="330"/>
      <c r="E11" s="331"/>
      <c r="F11" s="25" t="str">
        <f>VLOOKUP("tVersion",tblTrans3Langs[],LangFieldID,FALSE)</f>
        <v>Version</v>
      </c>
      <c r="G11" s="52" t="str">
        <f>VLOOKUP("tVersion",tblTrans3Langs[],7,FALSE)</f>
        <v>(fixed)</v>
      </c>
      <c r="H11" s="26" t="str">
        <f>VLOOKUP("tVersion",tblTrans3Langs[],LangNameID,FALSE)</f>
        <v>Always use the lastest version of this form</v>
      </c>
    </row>
    <row r="12" spans="1:8" s="24" customFormat="1" x14ac:dyDescent="0.25">
      <c r="A12" s="359"/>
      <c r="B12" s="338"/>
      <c r="C12" s="332"/>
      <c r="D12" s="333"/>
      <c r="E12" s="334"/>
      <c r="F12" s="25" t="str">
        <f>VLOOKUP("tLang",tblTrans3Langs[],LangFieldID,FALSE)</f>
        <v>Language</v>
      </c>
      <c r="G12" s="52" t="str">
        <f>VLOOKUP("tLang",tblTrans3Langs[],7,FALSE)</f>
        <v>ICCAT code</v>
      </c>
      <c r="H12" s="27" t="str">
        <f>VLOOKUP("tLang",tblTrans3Langs[],LangNameID,FALSE)</f>
        <v>Choose the language (ENG, FRA, ESP) for form translation</v>
      </c>
    </row>
    <row r="13" spans="1:8" ht="12.4" customHeight="1" x14ac:dyDescent="0.25">
      <c r="A13" s="359"/>
      <c r="B13" s="338"/>
      <c r="C13" s="326" t="str">
        <f>VLOOKUP("H00",tblTrans3Langs[],LangFieldID,FALSE)</f>
        <v>Header</v>
      </c>
      <c r="D13" s="341" t="str">
        <f>VLOOKUP("H10",tblTrans3Langs[],LangFieldID,FALSE)</f>
        <v>Statistical Correspondent</v>
      </c>
      <c r="E13" s="341" t="str">
        <f>VLOOKUP("H11",tblTrans3Langs[],LangFieldID,FALSE)</f>
        <v>Identification</v>
      </c>
      <c r="F13" s="28" t="str">
        <f>VLOOKUP("hName",tblTrans3Langs[],LangFieldID,FALSE)</f>
        <v>Name</v>
      </c>
      <c r="G13" s="175" t="str">
        <f>VLOOKUP("hName",tblTrans3Langs[],7,FALSE)</f>
        <v>string</v>
      </c>
      <c r="H13" s="29" t="str">
        <f>VLOOKUP("hName",tblTrans3Langs[],LangNameID,FALSE)</f>
        <v>Name (full OR Name &amp; Surname) of the Statistical Correspondent (officially nominated by the CPC)</v>
      </c>
    </row>
    <row r="14" spans="1:8" x14ac:dyDescent="0.25">
      <c r="A14" s="359"/>
      <c r="B14" s="338"/>
      <c r="C14" s="327"/>
      <c r="D14" s="341"/>
      <c r="E14" s="341"/>
      <c r="F14" s="28" t="str">
        <f>VLOOKUP("hEmail",tblTrans3Langs[],LangFieldID,FALSE)</f>
        <v>E-mail</v>
      </c>
      <c r="G14" s="175" t="str">
        <f>VLOOKUP("hEmail",tblTrans3Langs[],7,FALSE)</f>
        <v>string</v>
      </c>
      <c r="H14" s="30" t="str">
        <f>VLOOKUP("hEmail",tblTrans3Langs[],LangNameID,FALSE)</f>
        <v>Email address of the Statistical Correspondent</v>
      </c>
    </row>
    <row r="15" spans="1:8" x14ac:dyDescent="0.25">
      <c r="A15" s="359"/>
      <c r="B15" s="338"/>
      <c r="C15" s="327"/>
      <c r="D15" s="341"/>
      <c r="E15" s="341"/>
      <c r="F15" s="28" t="str">
        <f>VLOOKUP("hPhone",tblTrans3Langs[],LangFieldID,FALSE)</f>
        <v>Phone</v>
      </c>
      <c r="G15" s="175" t="str">
        <f>VLOOKUP("hPhone",tblTrans3Langs[],7,FALSE)</f>
        <v>string</v>
      </c>
      <c r="H15" s="30" t="str">
        <f>VLOOKUP("hPhone",tblTrans3Langs[],LangNameID,FALSE)</f>
        <v>Telephone number of the Statistical Correspondent</v>
      </c>
    </row>
    <row r="16" spans="1:8" x14ac:dyDescent="0.25">
      <c r="A16" s="359"/>
      <c r="B16" s="338"/>
      <c r="C16" s="327"/>
      <c r="D16" s="341"/>
      <c r="E16" s="341" t="str">
        <f>VLOOKUP("H12",tblTrans3Langs[],LangFieldID,FALSE)</f>
        <v>Affiliation</v>
      </c>
      <c r="F16" s="28" t="str">
        <f>VLOOKUP("hInstit",tblTrans3Langs[],LangFieldID,FALSE)</f>
        <v>Institution</v>
      </c>
      <c r="G16" s="175" t="str">
        <f>VLOOKUP("hInstit",tblTrans3Langs[],7,FALSE)</f>
        <v>string</v>
      </c>
      <c r="H16" s="30" t="str">
        <f>VLOOKUP("hInstit",tblTrans3Langs[],LangNameID,FALSE)</f>
        <v>Institute (ministry, agency, research Institute, etc.) to which the Statistical Correspondent is affiliated</v>
      </c>
    </row>
    <row r="17" spans="1:8" x14ac:dyDescent="0.25">
      <c r="A17" s="359"/>
      <c r="B17" s="338"/>
      <c r="C17" s="327"/>
      <c r="D17" s="341"/>
      <c r="E17" s="341"/>
      <c r="F17" s="28" t="str">
        <f>VLOOKUP("hDepart",tblTrans3Langs[],LangFieldID,FALSE)</f>
        <v>Department</v>
      </c>
      <c r="G17" s="175" t="str">
        <f>VLOOKUP("hDepart",tblTrans3Langs[],7,FALSE)</f>
        <v>string</v>
      </c>
      <c r="H17" s="30" t="str">
        <f>VLOOKUP("hDepart",tblTrans3Langs[],LangNameID,FALSE)</f>
        <v>Department within the Institution, where applicable</v>
      </c>
    </row>
    <row r="18" spans="1:8" x14ac:dyDescent="0.25">
      <c r="A18" s="359"/>
      <c r="B18" s="338"/>
      <c r="C18" s="327"/>
      <c r="D18" s="341"/>
      <c r="E18" s="341"/>
      <c r="F18" s="28" t="str">
        <f>VLOOKUP("hAddress",tblTrans3Langs[],LangFieldID,FALSE)</f>
        <v>Address</v>
      </c>
      <c r="G18" s="175" t="str">
        <f>VLOOKUP("hAddress",tblTrans3Langs[],7,FALSE)</f>
        <v>string</v>
      </c>
      <c r="H18" s="30" t="str">
        <f>VLOOKUP("hAddress",tblTrans3Langs[],LangNameID,FALSE)</f>
        <v>Postal address of the institution (street, number, city, state)</v>
      </c>
    </row>
    <row r="19" spans="1:8" x14ac:dyDescent="0.25">
      <c r="A19" s="359"/>
      <c r="B19" s="338"/>
      <c r="C19" s="327"/>
      <c r="D19" s="341"/>
      <c r="E19" s="341"/>
      <c r="F19" s="28" t="str">
        <f>VLOOKUP("hCountry",tblTrans3Langs[],LangFieldID,FALSE)</f>
        <v>Country</v>
      </c>
      <c r="G19" s="175" t="str">
        <f>VLOOKUP("hCountry",tblTrans3Langs[],7,FALSE)</f>
        <v>ICCAT code</v>
      </c>
      <c r="H19" s="31" t="str">
        <f>VLOOKUP("hCountry",tblTrans3Langs[],LangNameID,FALSE)</f>
        <v>Country in which the Institution is based</v>
      </c>
    </row>
    <row r="20" spans="1:8" x14ac:dyDescent="0.25">
      <c r="A20" s="359"/>
      <c r="B20" s="338"/>
      <c r="C20" s="327"/>
      <c r="D20" s="352" t="str">
        <f>VLOOKUP("H20",tblTrans3Langs[],LangFieldID,FALSE)</f>
        <v>Secretariat use only</v>
      </c>
      <c r="E20" s="32"/>
      <c r="F20" s="28" t="str">
        <f>VLOOKUP("hDaterep",tblTrans3Langs[],LangFieldID,FALSE)</f>
        <v>Date reported</v>
      </c>
      <c r="G20" s="175" t="str">
        <f>VLOOKUP("hDaterep",tblTrans3Langs[],7,FALSE)</f>
        <v>date</v>
      </c>
      <c r="H20" s="29" t="str">
        <f>VLOOKUP("hDaterep",tblTrans3Langs[],LangNameID,FALSE)</f>
        <v>Secretariat use only</v>
      </c>
    </row>
    <row r="21" spans="1:8" x14ac:dyDescent="0.25">
      <c r="A21" s="359"/>
      <c r="B21" s="338"/>
      <c r="C21" s="327"/>
      <c r="D21" s="353"/>
      <c r="E21" s="33"/>
      <c r="F21" s="28" t="str">
        <f>VLOOKUP("hRef",tblTrans3Langs[],LangFieldID,FALSE)</f>
        <v>Reference Nº</v>
      </c>
      <c r="G21" s="175" t="str">
        <f>VLOOKUP("hRef",tblTrans3Langs[],7,FALSE)</f>
        <v>ICCAT code</v>
      </c>
      <c r="H21" s="30" t="str">
        <f>VLOOKUP("hRef",tblTrans3Langs[],LangNameID,FALSE)</f>
        <v>Secretariat use only</v>
      </c>
    </row>
    <row r="22" spans="1:8" x14ac:dyDescent="0.25">
      <c r="A22" s="359"/>
      <c r="B22" s="338"/>
      <c r="C22" s="327"/>
      <c r="D22" s="353"/>
      <c r="E22" s="33"/>
      <c r="F22" s="28" t="str">
        <f>VLOOKUP("hFname",tblTrans3Langs[],LangFieldID,FALSE)</f>
        <v>File name (proposed)</v>
      </c>
      <c r="G22" s="175" t="str">
        <f>VLOOKUP("hFname",tblTrans3Langs[],7,FALSE)</f>
        <v>string</v>
      </c>
      <c r="H22" s="30" t="str">
        <f>VLOOKUP("hFname",tblTrans3Langs[],LangNameID,FALSE)</f>
        <v>Send the form to ICCAT with the proposed file name (if required, suffix it with an ID at the end)</v>
      </c>
    </row>
    <row r="23" spans="1:8" x14ac:dyDescent="0.25">
      <c r="A23" s="359"/>
      <c r="B23" s="338"/>
      <c r="C23" s="327"/>
      <c r="D23" s="353"/>
      <c r="E23" s="354" t="str">
        <f>VLOOKUP("H21",tblTrans3Langs[],LangFieldID,FALSE)</f>
        <v>Filtering criteria</v>
      </c>
      <c r="F23" s="28" t="str">
        <f>VLOOKUP("hFilter1",tblTrans3Langs[],LangFieldID,FALSE)</f>
        <v>Filter 1</v>
      </c>
      <c r="G23" s="175" t="str">
        <f>VLOOKUP("hFilter1",tblTrans3Langs[],7,FALSE)</f>
        <v>boolean</v>
      </c>
      <c r="H23" s="30" t="str">
        <f>VLOOKUP("hFilter1",tblTrans3Langs[],LangNameID,FALSE)</f>
        <v>Secretariat use only</v>
      </c>
    </row>
    <row r="24" spans="1:8" x14ac:dyDescent="0.25">
      <c r="A24" s="359"/>
      <c r="B24" s="338"/>
      <c r="C24" s="327"/>
      <c r="D24" s="353"/>
      <c r="E24" s="355"/>
      <c r="F24" s="28" t="str">
        <f>VLOOKUP("hFilter2",tblTrans3Langs[],LangFieldID,FALSE)</f>
        <v>Filter 2</v>
      </c>
      <c r="G24" s="175" t="str">
        <f>VLOOKUP("hFilter2",tblTrans3Langs[],7,FALSE)</f>
        <v>boolean</v>
      </c>
      <c r="H24" s="31" t="str">
        <f>VLOOKUP("hFilter2",tblTrans3Langs[],LangNameID,FALSE)</f>
        <v>Secretariat use only</v>
      </c>
    </row>
    <row r="25" spans="1:8" x14ac:dyDescent="0.25">
      <c r="A25" s="359"/>
      <c r="B25" s="338"/>
      <c r="C25" s="327"/>
      <c r="D25" s="352" t="str">
        <f>VLOOKUP("H30",tblTrans3Langs[],LangFieldID,FALSE)</f>
        <v>Data set characteristics</v>
      </c>
      <c r="E25" s="144"/>
      <c r="F25" s="34" t="str">
        <f>VLOOKUP("hFlagrep",tblTrans3Langs[],LangFieldID,FALSE)</f>
        <v>Reporting Flag</v>
      </c>
      <c r="G25" s="175" t="str">
        <f>VLOOKUP("hFlagrep",tblTrans3Langs[],7,FALSE)</f>
        <v>ICCAT code</v>
      </c>
      <c r="H25" s="29" t="str">
        <f>VLOOKUP("hFlagrep",tblTrans3Langs[],LangNameID,FALSE)</f>
        <v>Choose the Flag CPC reporting the data (ICCAT codes)</v>
      </c>
    </row>
    <row r="26" spans="1:8" x14ac:dyDescent="0.25">
      <c r="A26" s="359"/>
      <c r="B26" s="338"/>
      <c r="C26" s="327"/>
      <c r="D26" s="353"/>
      <c r="E26" s="145"/>
      <c r="F26" s="34" t="str">
        <f>VLOOKUP("hYearFrom",tblTrans3Langs[],LangFieldID,FALSE)</f>
        <v>Years covered (from)</v>
      </c>
      <c r="G26" s="175" t="str">
        <f>VLOOKUP("hYearFrom",tblTrans3Langs[],7,FALSE)</f>
        <v>integer</v>
      </c>
      <c r="H26" s="30" t="str">
        <f>VLOOKUP("hYearFrom",tblTrans3Langs[],LangNameID,FALSE)</f>
        <v>One or more years can be added to the form. Add the first (from) year (4 digits) to which the data relate</v>
      </c>
    </row>
    <row r="27" spans="1:8" x14ac:dyDescent="0.25">
      <c r="A27" s="359"/>
      <c r="B27" s="338"/>
      <c r="C27" s="327"/>
      <c r="D27" s="353"/>
      <c r="E27" s="145"/>
      <c r="F27" s="34" t="str">
        <f>VLOOKUP("hYearTo",tblTrans3Langs[],LangFieldID,FALSE)</f>
        <v>(to)</v>
      </c>
      <c r="G27" s="175" t="str">
        <f>VLOOKUP("hYearTo",tblTrans3Langs[],7,FALSE)</f>
        <v>integer</v>
      </c>
      <c r="H27" s="30" t="str">
        <f>VLOOKUP("hYearTo",tblTrans3Langs[],LangNameID,FALSE)</f>
        <v>One or more years can be added to the form. Add the last (to) year (4 digits) to which the data relate</v>
      </c>
    </row>
    <row r="28" spans="1:8" x14ac:dyDescent="0.25">
      <c r="A28" s="359"/>
      <c r="B28" s="338"/>
      <c r="C28" s="327"/>
      <c r="D28" s="353"/>
      <c r="E28" s="145"/>
      <c r="F28" s="34" t="str">
        <f>VLOOKUP("hSpeciesCd",tblTrans3Langs[],LangFieldID,FALSE)</f>
        <v>Species (cod)</v>
      </c>
      <c r="G28" s="175" t="str">
        <f>VLOOKUP("hSpeciesCd",tblTrans3Langs[],7,FALSE)</f>
        <v>ICCAT code</v>
      </c>
      <c r="H28" s="30" t="str">
        <f>VLOOKUP("hSpeciesCd",tblTrans3Langs[],LangNameID,FALSE)</f>
        <v>BFT only (fixed)</v>
      </c>
    </row>
    <row r="29" spans="1:8" x14ac:dyDescent="0.25">
      <c r="A29" s="359"/>
      <c r="B29" s="338"/>
      <c r="C29" s="327"/>
      <c r="D29" s="353"/>
      <c r="E29" s="145"/>
      <c r="F29" s="34" t="str">
        <f>VLOOKUP("hVersion",tblTrans3Langs[],LangFieldID,FALSE)</f>
        <v>Version reported</v>
      </c>
      <c r="G29" s="175" t="str">
        <f>VLOOKUP("hVersion",tblTrans3Langs[],7,FALSE)</f>
        <v>ICCAT code</v>
      </c>
      <c r="H29" s="30" t="str">
        <f>VLOOKUP("hVersion",tblTrans3Langs[],LangNameID,FALSE)</f>
        <v>Specify if this submission is Preliminary (subject to revision) or Final (already validated)</v>
      </c>
    </row>
    <row r="30" spans="1:8" x14ac:dyDescent="0.25">
      <c r="A30" s="359"/>
      <c r="B30" s="338"/>
      <c r="C30" s="327"/>
      <c r="D30" s="353"/>
      <c r="E30" s="145"/>
      <c r="F30" s="34" t="str">
        <f>VLOOKUP("hContent",tblTrans3Langs[],LangFieldID,FALSE)</f>
        <v>Content (data)</v>
      </c>
      <c r="G30" s="175" t="str">
        <f>VLOOKUP("hContent",tblTrans3Langs[],7,FALSE)</f>
        <v>ICCAT code</v>
      </c>
      <c r="H30" s="30" t="str">
        <f>VLOOKUP("hContent",tblTrans3Langs[],LangNameID,FALSE)</f>
        <v>Specify if the overall data content is NEW (full set OR partial set) OR a REVISION (full set OR partial set)</v>
      </c>
    </row>
    <row r="31" spans="1:8" x14ac:dyDescent="0.25">
      <c r="A31" s="359"/>
      <c r="B31" s="338"/>
      <c r="C31" s="327"/>
      <c r="D31" s="353"/>
      <c r="E31" s="174" t="str">
        <f>VLOOKUP("H31",tblTrans3Langs[],LangFieldID,FALSE)</f>
        <v>Catch attributes</v>
      </c>
      <c r="F31" s="34" t="str">
        <f>VLOOKUP("hProdTypeCd",tblTrans3Langs[],LangFieldID,FALSE)</f>
        <v>Product type</v>
      </c>
      <c r="G31" s="175" t="str">
        <f>VLOOKUP("hProdTypeCd",tblTrans3Langs[],7,FALSE)</f>
        <v>ICCAT code</v>
      </c>
      <c r="H31" s="30" t="str">
        <f>VLOOKUP("hProdtypeCd",tblTrans3Langs[],LangNameID,FALSE)</f>
        <v>Choose type of product (round weight, dressed weight, etc.) of the catch reported (ICCAT code)</v>
      </c>
    </row>
    <row r="32" spans="1:8" x14ac:dyDescent="0.25">
      <c r="A32" s="359"/>
      <c r="B32" s="338"/>
      <c r="C32" s="327"/>
      <c r="D32" s="353"/>
      <c r="E32" s="341" t="str">
        <f>VLOOKUP("H32",tblTrans3Langs[],LangFieldID,FALSE)</f>
        <v>Sampling attributes</v>
      </c>
      <c r="F32" s="34" t="str">
        <f>VLOOKUP("hLocationCd",tblTrans3Langs[],LangFieldID,FALSE)</f>
        <v>Location (cod)</v>
      </c>
      <c r="G32" s="175" t="str">
        <f>VLOOKUP("hLocationCd",tblTrans3Langs[],7,FALSE)</f>
        <v>ICCAT code</v>
      </c>
      <c r="H32" s="30" t="str">
        <f>VLOOKUP("hLocationCd",tblTrans3Langs[],LangNameID,FALSE)</f>
        <v>Choose a Location at which the samples were measured (If "other" please specify in notes)</v>
      </c>
    </row>
    <row r="33" spans="1:8" x14ac:dyDescent="0.25">
      <c r="A33" s="359"/>
      <c r="B33" s="338"/>
      <c r="C33" s="327"/>
      <c r="D33" s="353"/>
      <c r="E33" s="341"/>
      <c r="F33" s="34" t="str">
        <f>VLOOKUP("hSampunit",tblTrans3Langs[],LangFieldID,FALSE)</f>
        <v>Samp unit (cod)</v>
      </c>
      <c r="G33" s="175" t="str">
        <f>VLOOKUP("hSampunit",tblTrans3Langs[],7,FALSE)</f>
        <v>ICCAT code</v>
      </c>
      <c r="H33" s="30" t="str">
        <f>VLOOKUP("hSampunit",tblTrans3Langs[],LangNameID,FALSE)</f>
        <v>Choose a sampling unit (ICCAT codes) in which the data are provided</v>
      </c>
    </row>
    <row r="34" spans="1:8" x14ac:dyDescent="0.25">
      <c r="A34" s="359"/>
      <c r="B34" s="338"/>
      <c r="C34" s="327"/>
      <c r="D34" s="353"/>
      <c r="E34" s="354"/>
      <c r="F34" s="32" t="str">
        <f>VLOOKUP("hRaisedSuYN",tblTrans3Langs[],LangFieldID,FALSE)</f>
        <v>Raised (SU) ?</v>
      </c>
      <c r="G34" s="173" t="str">
        <f>VLOOKUP("hRaisedSuYN",tblTrans3Langs[],7,FALSE)</f>
        <v>boolean</v>
      </c>
      <c r="H34" s="30" t="str">
        <f>VLOOKUP("hRaisedSuYN",tblTrans3Langs[],LangNameID,FALSE)</f>
        <v>Please choose YES if the size samples have been raised to the Sampling Unit (SU). Otherwise choose NO</v>
      </c>
    </row>
    <row r="35" spans="1:8" x14ac:dyDescent="0.25">
      <c r="A35" s="359"/>
      <c r="B35" s="338"/>
      <c r="C35" s="327"/>
      <c r="D35" s="353"/>
      <c r="E35" s="341" t="str">
        <f>VLOOKUP("H33",tblTrans3Langs[],LangFieldID,FALSE)</f>
        <v>Frequency type attributes</v>
      </c>
      <c r="F35" s="34" t="str">
        <f>VLOOKUP("hFreqType",tblTrans3Langs[],LangFieldID,FALSE)</f>
        <v>Frequency type (cod)</v>
      </c>
      <c r="G35" s="175" t="str">
        <f>VLOOKUP("hFreqType",tblTrans3Langs[],7,FALSE)</f>
        <v>ICCAT code</v>
      </c>
      <c r="H35" s="29" t="str">
        <f>VLOOKUP("hFreqType",tblTrans3Langs[],LangNameID,FALSE)</f>
        <v>Frequencies of the sampling can be of type "size" (1/2/5 cm) OR "weight" (1kg only). Length classes are preferred</v>
      </c>
    </row>
    <row r="36" spans="1:8" x14ac:dyDescent="0.25">
      <c r="A36" s="359"/>
      <c r="B36" s="338"/>
      <c r="C36" s="327"/>
      <c r="D36" s="353"/>
      <c r="E36" s="341"/>
      <c r="F36" s="34" t="str">
        <f>VLOOKUP("hSzinterval",tblTrans3Langs[],LangFieldID,FALSE)</f>
        <v>Interval</v>
      </c>
      <c r="G36" s="175" t="str">
        <f>VLOOKUP("hSzinterval",tblTrans3Langs[],7,FALSE)</f>
        <v>integer</v>
      </c>
      <c r="H36" s="30" t="str">
        <f>VLOOKUP("hSzinterval",tblTrans3Langs[],LangNameID,FALSE)</f>
        <v>Choose the Interval of the size frequencies (1cm; 2cm, 5 cm; 1kg)</v>
      </c>
    </row>
    <row r="37" spans="1:8" x14ac:dyDescent="0.25">
      <c r="A37" s="359"/>
      <c r="B37" s="338"/>
      <c r="C37" s="327"/>
      <c r="D37" s="358"/>
      <c r="E37" s="341"/>
      <c r="F37" s="34" t="str">
        <f>VLOOKUP("hSzclasslim",tblTrans3Langs[],LangFieldID,FALSE)</f>
        <v>Class limit</v>
      </c>
      <c r="G37" s="175" t="str">
        <f>VLOOKUP("hSzclasslim",tblTrans3Langs[],7,FALSE)</f>
        <v>ICCAT code</v>
      </c>
      <c r="H37" s="31" t="str">
        <f>VLOOKUP("hSzclasslim",tblTrans3Langs[],LangNameID,FALSE)</f>
        <v>Identify the class boundary intervals (lower limit, central point, upper limit)</v>
      </c>
    </row>
    <row r="38" spans="1:8" x14ac:dyDescent="0.25">
      <c r="A38" s="359"/>
      <c r="B38" s="338"/>
      <c r="C38" s="328"/>
      <c r="D38" s="356" t="str">
        <f>VLOOKUP("H40",tblTrans3Langs[],LangFieldID,FALSE)</f>
        <v>Other attributes</v>
      </c>
      <c r="E38" s="357"/>
      <c r="F38" s="35" t="str">
        <f>VLOOKUP("hNotes",tblTrans3Langs[],LangFieldID,FALSE)</f>
        <v>Notes</v>
      </c>
      <c r="G38" s="176" t="str">
        <f>VLOOKUP("hNotes",tblTrans3Langs[],7,FALSE)</f>
        <v>string</v>
      </c>
      <c r="H38" s="31" t="str">
        <f>VLOOKUP("hNotes",tblTrans3Langs[],LangNameID,FALSE)</f>
        <v>Add additional (complementary) notes in respect to the overall dataset (if needed)</v>
      </c>
    </row>
    <row r="39" spans="1:8" ht="12.4" customHeight="1" x14ac:dyDescent="0.25">
      <c r="A39" s="359"/>
      <c r="B39" s="338"/>
      <c r="C39" s="335" t="str">
        <f>VLOOKUP("D00",tblTrans3Langs[],LangFieldID,FALSE)</f>
        <v>Detail</v>
      </c>
      <c r="D39" s="344" t="str">
        <f>VLOOKUP("D10",tblTrans3Langs[],LangFieldID,FALSE)</f>
        <v>Sample attributes</v>
      </c>
      <c r="E39" s="344" t="str">
        <f>VLOOKUP("D11",tblTrans3Langs[],LangFieldID,FALSE)</f>
        <v>Fleet ID</v>
      </c>
      <c r="F39" s="122" t="str">
        <f>VLOOKUP("FlagVesCd",tblTrans3Langs[],LangFieldID,FALSE)</f>
        <v>Flag of Vessel (cod)</v>
      </c>
      <c r="G39" s="175" t="str">
        <f>VLOOKUP("FlagVesCd",tblTrans3Langs[],7,FALSE)</f>
        <v>ICCAT code</v>
      </c>
      <c r="H39" s="28" t="str">
        <f>VLOOKUP("FlagVesCd",tblTrans3Langs[],LangNameID,FALSE)</f>
        <v>Choose the flag of the vessel for which the data apply (whether national or foreign flagged vessel)</v>
      </c>
    </row>
    <row r="40" spans="1:8" ht="23.1" x14ac:dyDescent="0.25">
      <c r="A40" s="359"/>
      <c r="B40" s="338"/>
      <c r="C40" s="336"/>
      <c r="D40" s="350"/>
      <c r="E40" s="342"/>
      <c r="F40" s="123" t="str">
        <f>VLOOKUP("FleetSuffix",tblTrans3Langs[],LangFieldID,FALSE)</f>
        <v xml:space="preserve">Fleet suffix </v>
      </c>
      <c r="G40" s="173" t="str">
        <f>VLOOKUP("FleetSuffix",tblTrans3Langs[],7,FALSE)</f>
        <v>string</v>
      </c>
      <c r="H40" s="30" t="str">
        <f>VLOOKUP("FleetSuffix",tblTrans3Langs[],LangNameID,FALSE)</f>
        <v>This field should be completed by those CPCs operating various fisheries with an independent data collection system (e.g. Portugal-Azores, Spain-Fuenterrabía, etc.). Additional fleet sufixes (former base ports/zones) can be adopted.</v>
      </c>
    </row>
    <row r="41" spans="1:8" ht="14.95" customHeight="1" x14ac:dyDescent="0.25">
      <c r="A41" s="359"/>
      <c r="B41" s="338"/>
      <c r="C41" s="336"/>
      <c r="D41" s="351"/>
      <c r="E41" s="345" t="str">
        <f>VLOOKUP("D12",tblTrans3Langs[],LangFieldID,FALSE)</f>
        <v>Catch strata associated to samples</v>
      </c>
      <c r="F41" s="123" t="str">
        <f>VLOOKUP("YearC",tblTrans3Langs[],LangFieldID,FALSE)</f>
        <v>Year (calendar)</v>
      </c>
      <c r="G41" s="138" t="str">
        <f>VLOOKUP("YearC",tblTrans3Langs[],7,FALSE)</f>
        <v>integer</v>
      </c>
      <c r="H41" s="29" t="str">
        <f>VLOOKUP("YearC",tblTrans3Langs[],LangNameID,FALSE)</f>
        <v>Calendar year (four digits) in which the catch was taken</v>
      </c>
    </row>
    <row r="42" spans="1:8" ht="12.4" customHeight="1" x14ac:dyDescent="0.25">
      <c r="A42" s="359"/>
      <c r="B42" s="338"/>
      <c r="C42" s="336"/>
      <c r="D42" s="351"/>
      <c r="E42" s="346"/>
      <c r="F42" s="125" t="str">
        <f>VLOOKUP("Month",tblTrans3Langs[],LangFieldID,FALSE)</f>
        <v>Month</v>
      </c>
      <c r="G42" s="50" t="str">
        <f>VLOOKUP("month",tblTrans3Langs[],7,FALSE)</f>
        <v>integer</v>
      </c>
      <c r="H42" s="30" t="str">
        <f>VLOOKUP("Month",tblTrans3Langs[],LangNameID,FALSE)</f>
        <v>Catch and effort should be reported by month (January= 1; December= 12)</v>
      </c>
    </row>
    <row r="43" spans="1:8" x14ac:dyDescent="0.25">
      <c r="A43" s="359"/>
      <c r="B43" s="338"/>
      <c r="C43" s="336"/>
      <c r="D43" s="351"/>
      <c r="E43" s="346"/>
      <c r="F43" s="125" t="str">
        <f>VLOOKUP("GearCd",tblTrans3Langs[],LangFieldID,FALSE)</f>
        <v>Gear (cod)</v>
      </c>
      <c r="G43" s="50" t="str">
        <f>VLOOKUP("GearCd",tblTrans3Langs[],7,FALSE)</f>
        <v>ICCAT code</v>
      </c>
      <c r="H43" s="30" t="str">
        <f>VLOOKUP("GearCd",tblTrans3Langs[],LangNameID,FALSE)</f>
        <v>Choose the Gear code (ICCAT codes)</v>
      </c>
    </row>
    <row r="44" spans="1:8" x14ac:dyDescent="0.25">
      <c r="A44" s="359"/>
      <c r="B44" s="338"/>
      <c r="C44" s="336"/>
      <c r="D44" s="351"/>
      <c r="E44" s="346"/>
      <c r="F44" s="125" t="str">
        <f>VLOOKUP("CatchTypeCd",tblTrans3Langs[],LangFieldID,FALSE)</f>
        <v>Catch type (cod)</v>
      </c>
      <c r="G44" s="50" t="str">
        <f>VLOOKUP("CatchTypeCd",tblTrans3Langs[],7,FALSE)</f>
        <v>ICCAT code</v>
      </c>
      <c r="H44" s="30" t="str">
        <f>VLOOKUP("CatchTypeCd",tblTrans3Langs[],LangNameID,FALSE)</f>
        <v>Specify if associated samples are from catch landings or discards, and if discards whether there are live or dead discards</v>
      </c>
    </row>
    <row r="45" spans="1:8" x14ac:dyDescent="0.25">
      <c r="A45" s="359"/>
      <c r="B45" s="338"/>
      <c r="C45" s="336"/>
      <c r="D45" s="351"/>
      <c r="E45" s="347"/>
      <c r="F45" s="127" t="str">
        <f>VLOOKUP("SchoolTypCd",tblTrans3Langs[],LangFieldID,FALSE)</f>
        <v>School t. (cod)</v>
      </c>
      <c r="G45" s="139" t="str">
        <f>VLOOKUP("SchoolTypCd",tblTrans3Langs[],7,FALSE)</f>
        <v>ICCAT code</v>
      </c>
      <c r="H45" s="31" t="str">
        <f>VLOOKUP("SchoolTypCd",tblTrans3Langs[],LangNameID,FALSE)</f>
        <v>For each species, enter the school type (FAD or Free School) if the gear is "purse seine". Not applicable (n/a or "blank") by default</v>
      </c>
    </row>
    <row r="46" spans="1:8" x14ac:dyDescent="0.25">
      <c r="A46" s="359"/>
      <c r="B46" s="338"/>
      <c r="C46" s="336"/>
      <c r="D46" s="351"/>
      <c r="E46" s="342" t="str">
        <f>VLOOKUP("D12a",tblTrans3Langs[],LangFieldID,FALSE)</f>
        <v>Geographic area</v>
      </c>
      <c r="F46" s="126" t="str">
        <f>VLOOKUP("SaAreaCd",tblTrans3Langs[],LangFieldID,FALSE)</f>
        <v>Sampling area (cod)</v>
      </c>
      <c r="G46" s="176" t="str">
        <f>VLOOKUP("SaAreaCd",tblTrans3Langs[],7,FALSE)</f>
        <v>ICCAT code</v>
      </c>
      <c r="H46" s="30" t="str">
        <f>VLOOKUP("SaAreaCd",tblTrans3Langs[],LangNameID,FALSE)</f>
        <v>Choose the Sampling Area code of the species (within each stock)</v>
      </c>
    </row>
    <row r="47" spans="1:8" x14ac:dyDescent="0.25">
      <c r="A47" s="359"/>
      <c r="B47" s="338"/>
      <c r="C47" s="336"/>
      <c r="D47" s="351"/>
      <c r="E47" s="343"/>
      <c r="F47" s="124" t="str">
        <f>VLOOKUP("GeoGridCd",tblTrans3Langs[],LangFieldID,FALSE)</f>
        <v>Square t. (cod)</v>
      </c>
      <c r="G47" s="175" t="str">
        <f>VLOOKUP("GeoGridCd",tblTrans3Langs[],7,FALSE)</f>
        <v>ICCAT code</v>
      </c>
      <c r="H47" s="30" t="str">
        <f>VLOOKUP("GeoGridCd",tblTrans3Langs[],LangNameID,FALSE)</f>
        <v>Choose the square type (ICCAT code). By default, 5x5 squares should be used for Longline and 1x1 for other gears</v>
      </c>
    </row>
    <row r="48" spans="1:8" x14ac:dyDescent="0.25">
      <c r="A48" s="359"/>
      <c r="B48" s="338"/>
      <c r="C48" s="336"/>
      <c r="D48" s="351"/>
      <c r="E48" s="343"/>
      <c r="F48" s="124" t="str">
        <f>VLOOKUP("QuadCd",tblTrans3Langs[],LangFieldID,FALSE)</f>
        <v>Quad (cod)</v>
      </c>
      <c r="G48" s="175" t="str">
        <f>VLOOKUP("QuadCd",tblTrans3Langs[],7,FALSE)</f>
        <v>ICCAT code</v>
      </c>
      <c r="H48" s="30" t="str">
        <f>VLOOKUP("QuadCd",tblTrans3Langs[],LangNameID,FALSE)</f>
        <v>Choose the quadrant (ICCAT codes: NE(1); SE(2); SW(3); NW(4))</v>
      </c>
    </row>
    <row r="49" spans="1:8" x14ac:dyDescent="0.25">
      <c r="A49" s="359"/>
      <c r="B49" s="338"/>
      <c r="C49" s="336"/>
      <c r="D49" s="351"/>
      <c r="E49" s="343"/>
      <c r="F49" s="124" t="str">
        <f>VLOOKUP("Lat",tblTrans3Langs[],LangFieldID,FALSE)</f>
        <v>Lat</v>
      </c>
      <c r="G49" s="175" t="str">
        <f>VLOOKUP("Lat",tblTrans3Langs[],7,FALSE)</f>
        <v>integer</v>
      </c>
      <c r="H49" s="30" t="str">
        <f>VLOOKUP("Lat",tblTrans3Langs[],LangNameID,FALSE)</f>
        <v>Latitude of the corner of the square closest to 0º (multiples of the Square Type code)</v>
      </c>
    </row>
    <row r="50" spans="1:8" x14ac:dyDescent="0.25">
      <c r="A50" s="359"/>
      <c r="B50" s="338"/>
      <c r="C50" s="336"/>
      <c r="D50" s="351"/>
      <c r="E50" s="343"/>
      <c r="F50" s="124" t="str">
        <f>VLOOKUP("Lon",tblTrans3Langs[],LangFieldID,FALSE)</f>
        <v>Lon</v>
      </c>
      <c r="G50" s="175" t="str">
        <f>VLOOKUP("Lon",tblTrans3Langs[],7,FALSE)</f>
        <v>integer</v>
      </c>
      <c r="H50" s="30" t="str">
        <f>VLOOKUP("Lon",tblTrans3Langs[],LangNameID,FALSE)</f>
        <v>Longitude of the corner of the square closest to 0º (multiples of the Square Type code)</v>
      </c>
    </row>
    <row r="51" spans="1:8" x14ac:dyDescent="0.25">
      <c r="A51" s="359"/>
      <c r="B51" s="338"/>
      <c r="C51" s="336"/>
      <c r="D51" s="351"/>
      <c r="E51" s="343"/>
      <c r="F51" s="124" t="str">
        <f>VLOOKUP("DSourceCd",tblTrans3Langs[],LangFieldID,FALSE)</f>
        <v>Data source (cod)</v>
      </c>
      <c r="G51" s="175" t="str">
        <f>VLOOKUP("DSourceCd",tblTrans3Langs[],7,FALSE)</f>
        <v>ICCAT code</v>
      </c>
      <c r="H51" s="30" t="str">
        <f>VLOOKUP("DSourceCd",tblTrans3Langs[],LangNameID,FALSE)</f>
        <v>Choose the source from which the data were compiled (ICCAT codes)</v>
      </c>
    </row>
    <row r="52" spans="1:8" x14ac:dyDescent="0.25">
      <c r="A52" s="359"/>
      <c r="B52" s="338"/>
      <c r="C52" s="336"/>
      <c r="D52" s="351"/>
      <c r="E52" s="344"/>
      <c r="F52" s="124" t="str">
        <f>VLOOKUP("TotCatchW",tblTrans3Langs[],LangFieldID,FALSE)</f>
        <v>Total catch (kg)</v>
      </c>
      <c r="G52" s="175" t="str">
        <f>VLOOKUP("TotCatchW",tblTrans3Langs[],7,FALSE)</f>
        <v>float</v>
      </c>
      <c r="H52" s="31" t="str">
        <f>VLOOKUP("TotCatchW",tblTrans3Langs[],LangNameID,FALSE)</f>
        <v>Total catch in the sampling unit from which the sample was taken</v>
      </c>
    </row>
    <row r="53" spans="1:8" ht="23.1" x14ac:dyDescent="0.25">
      <c r="A53" s="359"/>
      <c r="B53" s="338"/>
      <c r="C53" s="336"/>
      <c r="D53" s="351"/>
      <c r="E53" s="177" t="str">
        <f>VLOOKUP("D13",tblTrans3Langs[],LangFieldID,FALSE)</f>
        <v>Sample strata</v>
      </c>
      <c r="F53" s="126" t="str">
        <f>VLOOKUP("SampleID",tblTrans3Langs[],LangFieldID,FALSE)</f>
        <v>Sample unit ID (SU)</v>
      </c>
      <c r="G53" s="176" t="str">
        <f>VLOOKUP("SampleID",tblTrans3Langs[],7,FALSE)</f>
        <v>integer</v>
      </c>
      <c r="H53" s="30" t="str">
        <f>VLOOKUP("SampleID",tblTrans3Langs[],LangNameID,FALSE)</f>
        <v>Enter unique numbers (ordered) for each sampling unit. They must delimit the rows belonging to each sample in a given stratum. It is optional and can be left "blank"</v>
      </c>
    </row>
    <row r="54" spans="1:8" x14ac:dyDescent="0.25">
      <c r="A54" s="359"/>
      <c r="B54" s="338"/>
      <c r="C54" s="336"/>
      <c r="D54" s="351"/>
      <c r="E54" s="177"/>
      <c r="F54" s="124" t="str">
        <f>VLOOKUP("MonthSamp",tblTrans3Langs[],LangFieldID,FALSE)</f>
        <v>Month (sample)</v>
      </c>
      <c r="G54" s="175" t="str">
        <f>VLOOKUP("MonthSamp",tblTrans3Langs[],7,FALSE)</f>
        <v>ICCAT code</v>
      </c>
      <c r="H54" s="30" t="str">
        <f>VLOOKUP("MonthSamp",tblTrans3Langs[],LangNameID,FALSE)</f>
        <v>The month in which the sample was measured</v>
      </c>
    </row>
    <row r="55" spans="1:8" x14ac:dyDescent="0.25">
      <c r="A55" s="359"/>
      <c r="B55" s="338"/>
      <c r="C55" s="336"/>
      <c r="D55" s="351"/>
      <c r="E55" s="343" t="str">
        <f>VLOOKUP("D13a",tblTrans3Langs[],LangFieldID,FALSE)</f>
        <v>Total fish sampled</v>
      </c>
      <c r="F55" s="124" t="str">
        <f>VLOOKUP("FishSaW",tblTrans3Langs[],LangFieldID,FALSE)</f>
        <v>Weight (kg)</v>
      </c>
      <c r="G55" s="175" t="str">
        <f>VLOOKUP("FishSaW",tblTrans3Langs[],7,FALSE)</f>
        <v>integer</v>
      </c>
      <c r="H55" s="30" t="str">
        <f>VLOOKUP("FishSaW",tblTrans3Langs[],LangNameID,FALSE)</f>
        <v>Total weight (kg) of the fish sampled in the sampling unit</v>
      </c>
    </row>
    <row r="56" spans="1:8" x14ac:dyDescent="0.25">
      <c r="A56" s="359"/>
      <c r="B56" s="338"/>
      <c r="C56" s="336"/>
      <c r="D56" s="351"/>
      <c r="E56" s="344"/>
      <c r="F56" s="124" t="str">
        <f>VLOOKUP("FishSaN",tblTrans3Langs[],LangFieldID,FALSE)</f>
        <v>Number</v>
      </c>
      <c r="G56" s="175" t="str">
        <f>VLOOKUP("FishSaN",tblTrans3Langs[],7,FALSE)</f>
        <v>float</v>
      </c>
      <c r="H56" s="31" t="str">
        <f>VLOOKUP("FishSaN",tblTrans3Langs[],LangNameID,FALSE)</f>
        <v>Total number of fish sampled in the sampling unit</v>
      </c>
    </row>
    <row r="57" spans="1:8" ht="23.1" x14ac:dyDescent="0.25">
      <c r="A57" s="359"/>
      <c r="B57" s="338"/>
      <c r="C57" s="336"/>
      <c r="D57" s="344" t="str">
        <f>VLOOKUP("D20",tblTrans3Langs[],LangFieldID,FALSE)</f>
        <v>Size frequency details</v>
      </c>
      <c r="E57" s="344"/>
      <c r="F57" s="127" t="str">
        <f>VLOOKUP("szClass",tblTrans3Langs[],LangFieldID,FALSE)</f>
        <v>Size class</v>
      </c>
      <c r="G57" s="176" t="str">
        <f>VLOOKUP("szClass",tblTrans3Langs[],7,FALSE)</f>
        <v>integer</v>
      </c>
      <c r="H57" s="30" t="str">
        <f>VLOOKUP("szClass",tblTrans3Langs[],LangNameID,FALSE)</f>
        <v>The size class of the fish. In each sampling unit, it should start at the lowest size class and continue in multiples of the chosen Interval (header section). It is not necessary to enter size classes for which fish sampled is "zero"</v>
      </c>
    </row>
    <row r="58" spans="1:8" x14ac:dyDescent="0.25">
      <c r="A58" s="359"/>
      <c r="B58" s="338"/>
      <c r="C58" s="336"/>
      <c r="D58" s="350"/>
      <c r="E58" s="350"/>
      <c r="F58" s="122" t="str">
        <f>VLOOKUP("NoUs",tblTrans3Langs[],LangFieldID,FALSE)</f>
        <v xml:space="preserve">U </v>
      </c>
      <c r="G58" s="175" t="str">
        <f>VLOOKUP("NoUs",tblTrans3Langs[],7,FALSE)</f>
        <v>integer</v>
      </c>
      <c r="H58" s="30" t="str">
        <f>VLOOKUP("NoUs",tblTrans3Langs[],LangNameID,FALSE)</f>
        <v>Add to each class the Number of fish sampled (sex unknow)</v>
      </c>
    </row>
    <row r="59" spans="1:8" x14ac:dyDescent="0.25">
      <c r="A59" s="359"/>
      <c r="B59" s="338"/>
      <c r="C59" s="336"/>
      <c r="D59" s="350"/>
      <c r="E59" s="350"/>
      <c r="F59" s="122" t="str">
        <f>VLOOKUP("NoMs",tblTrans3Langs[],LangFieldID,FALSE)</f>
        <v>M</v>
      </c>
      <c r="G59" s="175" t="str">
        <f>VLOOKUP("NoMs",tblTrans3Langs[],7,FALSE)</f>
        <v>integer</v>
      </c>
      <c r="H59" s="30" t="str">
        <f>VLOOKUP("NoMs",tblTrans3Langs[],LangNameID,FALSE)</f>
        <v>Add to each class the Number of fish sampled (males)</v>
      </c>
    </row>
    <row r="60" spans="1:8" x14ac:dyDescent="0.25">
      <c r="A60" s="359"/>
      <c r="B60" s="338"/>
      <c r="C60" s="336"/>
      <c r="D60" s="350"/>
      <c r="E60" s="350"/>
      <c r="F60" s="122" t="str">
        <f>VLOOKUP("NoFs",tblTrans3Langs[],LangFieldID,FALSE)</f>
        <v>F</v>
      </c>
      <c r="G60" s="175" t="str">
        <f>VLOOKUP("NoFs",tblTrans3Langs[],7,FALSE)</f>
        <v>integer</v>
      </c>
      <c r="H60" s="30" t="str">
        <f>VLOOKUP("NoFs",tblTrans3Langs[],LangNameID,FALSE)</f>
        <v>Add to each class the Number of fish sampled (females)</v>
      </c>
    </row>
    <row r="61" spans="1:8" x14ac:dyDescent="0.25">
      <c r="A61" s="359"/>
      <c r="B61" s="339"/>
      <c r="C61" s="337"/>
      <c r="D61" s="350"/>
      <c r="E61" s="350"/>
      <c r="F61" s="122" t="str">
        <f>VLOOKUP("NoIs",tblTrans3Langs[],LangFieldID,FALSE)</f>
        <v>I</v>
      </c>
      <c r="G61" s="175" t="str">
        <f>VLOOKUP("NoIs",tblTrans3Langs[],7,FALSE)</f>
        <v>integer</v>
      </c>
      <c r="H61" s="31" t="str">
        <f>VLOOKUP("NoIs",tblTrans3Langs[],LangNameID,FALSE)</f>
        <v>Add to each class the Number of fish sampled (immatures)</v>
      </c>
    </row>
    <row r="76" spans="8:8" x14ac:dyDescent="0.25">
      <c r="H76" s="23" t="s">
        <v>90</v>
      </c>
    </row>
    <row r="78" spans="8:8" x14ac:dyDescent="0.25">
      <c r="H78" s="23" t="s">
        <v>90</v>
      </c>
    </row>
    <row r="79" spans="8:8" x14ac:dyDescent="0.25">
      <c r="H79" s="23" t="s">
        <v>90</v>
      </c>
    </row>
  </sheetData>
  <sheetProtection algorithmName="SHA-512" hashValue="t2uGYS27ss//EIIcEaOOkj2Vfxx7zbvctMnbfutBq8rMg92UPB9AZUCJIekNRf9uKHfXPv3R4MXWh82J/ct6OA==" saltValue="/EZCNY+bxV6H4xfoIGLo+w==" spinCount="100000" sheet="1" objects="1" scenarios="1"/>
  <mergeCells count="28">
    <mergeCell ref="A2:E2"/>
    <mergeCell ref="A1:H1"/>
    <mergeCell ref="D39:D56"/>
    <mergeCell ref="E39:E40"/>
    <mergeCell ref="D57:E61"/>
    <mergeCell ref="D20:D24"/>
    <mergeCell ref="E23:E24"/>
    <mergeCell ref="E32:E34"/>
    <mergeCell ref="D38:E38"/>
    <mergeCell ref="D25:D37"/>
    <mergeCell ref="E35:E37"/>
    <mergeCell ref="A11:A61"/>
    <mergeCell ref="E55:E56"/>
    <mergeCell ref="B3:H3"/>
    <mergeCell ref="B4:H4"/>
    <mergeCell ref="B5:H5"/>
    <mergeCell ref="B6:H6"/>
    <mergeCell ref="B7:H7"/>
    <mergeCell ref="C13:C38"/>
    <mergeCell ref="C11:E12"/>
    <mergeCell ref="C39:C61"/>
    <mergeCell ref="B11:B61"/>
    <mergeCell ref="A9:E9"/>
    <mergeCell ref="D13:D19"/>
    <mergeCell ref="E13:E15"/>
    <mergeCell ref="E16:E19"/>
    <mergeCell ref="E46:E52"/>
    <mergeCell ref="E41:E45"/>
  </mergeCells>
  <pageMargins left="0.7" right="0.7" top="0.75" bottom="0.75" header="0.3" footer="0.3"/>
  <pageSetup paperSize="9" orientation="portrait" r:id="rId1"/>
  <ignoredErrors>
    <ignoredError sqref="H32" formula="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G15"/>
  <sheetViews>
    <sheetView zoomScaleNormal="100" workbookViewId="0">
      <selection activeCell="E19" sqref="E19"/>
    </sheetView>
  </sheetViews>
  <sheetFormatPr defaultColWidth="9.125" defaultRowHeight="13.6" x14ac:dyDescent="0.25"/>
  <cols>
    <col min="1" max="1" width="4.25" style="68" bestFit="1" customWidth="1"/>
    <col min="2" max="2" width="4.5" style="68" bestFit="1" customWidth="1"/>
    <col min="3" max="3" width="6.75" style="68" customWidth="1"/>
    <col min="4" max="4" width="87.125" style="68" customWidth="1"/>
    <col min="5" max="5" width="11.25" style="68" bestFit="1" customWidth="1"/>
    <col min="6" max="6" width="21.125" style="68" bestFit="1" customWidth="1"/>
    <col min="7" max="7" width="13.875" style="68" bestFit="1" customWidth="1"/>
    <col min="8" max="16384" width="9.125" style="68"/>
  </cols>
  <sheetData>
    <row r="1" spans="1:7" ht="19.05" x14ac:dyDescent="0.25">
      <c r="A1" s="361" t="s">
        <v>1141</v>
      </c>
      <c r="B1" s="361"/>
      <c r="C1" s="361"/>
      <c r="D1" s="361"/>
      <c r="E1" s="361"/>
      <c r="F1" s="361"/>
    </row>
    <row r="2" spans="1:7" s="79" customFormat="1" ht="11.55" x14ac:dyDescent="0.25">
      <c r="A2" s="78"/>
      <c r="B2" s="78"/>
      <c r="C2" s="78"/>
      <c r="D2" s="78"/>
      <c r="E2" s="78"/>
      <c r="F2" s="78"/>
    </row>
    <row r="3" spans="1:7" s="79" customFormat="1" ht="23.1" x14ac:dyDescent="0.25">
      <c r="A3" s="80" t="str">
        <f>VLOOKUP("SC01",tblTrans3Langs[],LangFieldID,FALSE)</f>
        <v>Form</v>
      </c>
      <c r="B3" s="69" t="s">
        <v>1115</v>
      </c>
      <c r="C3" s="81" t="s">
        <v>713</v>
      </c>
      <c r="D3" s="69" t="s">
        <v>60</v>
      </c>
      <c r="E3" s="69" t="s">
        <v>1116</v>
      </c>
      <c r="F3" s="69" t="s">
        <v>1117</v>
      </c>
      <c r="G3" s="69" t="str">
        <f>"Status ("&amp;LEFT('ST04-T2SZ'!Q2,4)&amp;")"</f>
        <v>Status (2026)</v>
      </c>
    </row>
    <row r="4" spans="1:7" s="79" customFormat="1" ht="11.55" x14ac:dyDescent="0.2">
      <c r="A4" s="362" t="str">
        <f>VLOOKUP("T00",tblTrans3Langs[],LangFieldID,FALSE)</f>
        <v>ST04-T2SZ</v>
      </c>
      <c r="B4" s="365">
        <v>1</v>
      </c>
      <c r="C4" s="82" t="s">
        <v>731</v>
      </c>
      <c r="D4" s="83" t="s">
        <v>1118</v>
      </c>
      <c r="E4" s="84" t="s">
        <v>1119</v>
      </c>
      <c r="F4" s="85" t="str">
        <f>"{"&amp;LEFT('ST04-T2SZ'!Q2,4)&amp;"a}*"</f>
        <v>{2026a}*</v>
      </c>
      <c r="G4" s="70" t="s">
        <v>1142</v>
      </c>
    </row>
    <row r="5" spans="1:7" s="79" customFormat="1" ht="11.55" x14ac:dyDescent="0.2">
      <c r="A5" s="363"/>
      <c r="B5" s="366"/>
      <c r="C5" s="86" t="s">
        <v>732</v>
      </c>
      <c r="D5" s="87" t="s">
        <v>1120</v>
      </c>
      <c r="E5" s="78" t="s">
        <v>1119</v>
      </c>
      <c r="F5" s="88"/>
      <c r="G5" s="70" t="s">
        <v>1142</v>
      </c>
    </row>
    <row r="6" spans="1:7" s="79" customFormat="1" ht="11.55" x14ac:dyDescent="0.2">
      <c r="A6" s="363"/>
      <c r="B6" s="367"/>
      <c r="C6" s="89" t="s">
        <v>733</v>
      </c>
      <c r="D6" s="90" t="s">
        <v>1121</v>
      </c>
      <c r="E6" s="91" t="s">
        <v>1119</v>
      </c>
      <c r="F6" s="92" t="s">
        <v>1125</v>
      </c>
      <c r="G6" s="70" t="s">
        <v>1142</v>
      </c>
    </row>
    <row r="7" spans="1:7" s="79" customFormat="1" ht="11.55" x14ac:dyDescent="0.2">
      <c r="A7" s="363"/>
      <c r="B7" s="365">
        <v>2</v>
      </c>
      <c r="C7" s="82" t="s">
        <v>731</v>
      </c>
      <c r="D7" s="93" t="s">
        <v>2013</v>
      </c>
      <c r="E7" s="94" t="s">
        <v>1122</v>
      </c>
      <c r="F7" s="85" t="s">
        <v>1123</v>
      </c>
      <c r="G7" s="71" t="s">
        <v>1142</v>
      </c>
    </row>
    <row r="8" spans="1:7" s="79" customFormat="1" ht="11.55" x14ac:dyDescent="0.2">
      <c r="A8" s="363"/>
      <c r="B8" s="366"/>
      <c r="C8" s="86" t="s">
        <v>732</v>
      </c>
      <c r="D8" s="95" t="s">
        <v>1124</v>
      </c>
      <c r="E8" s="96" t="s">
        <v>1122</v>
      </c>
      <c r="F8" s="88" t="s">
        <v>1999</v>
      </c>
      <c r="G8" s="70" t="s">
        <v>1142</v>
      </c>
    </row>
    <row r="9" spans="1:7" s="79" customFormat="1" ht="23.1" x14ac:dyDescent="0.2">
      <c r="A9" s="363"/>
      <c r="B9" s="366"/>
      <c r="C9" s="86" t="s">
        <v>733</v>
      </c>
      <c r="D9" s="95" t="s">
        <v>2044</v>
      </c>
      <c r="E9" s="96" t="s">
        <v>1122</v>
      </c>
      <c r="F9" s="88" t="s">
        <v>1126</v>
      </c>
      <c r="G9" s="70" t="s">
        <v>1142</v>
      </c>
    </row>
    <row r="10" spans="1:7" s="79" customFormat="1" ht="11.55" x14ac:dyDescent="0.2">
      <c r="A10" s="363"/>
      <c r="B10" s="366"/>
      <c r="C10" s="86" t="s">
        <v>734</v>
      </c>
      <c r="D10" s="95" t="s">
        <v>1127</v>
      </c>
      <c r="E10" s="96" t="s">
        <v>1122</v>
      </c>
      <c r="F10" s="97" t="s">
        <v>1128</v>
      </c>
      <c r="G10" s="72" t="s">
        <v>2016</v>
      </c>
    </row>
    <row r="11" spans="1:7" s="79" customFormat="1" ht="11.55" x14ac:dyDescent="0.2">
      <c r="A11" s="364"/>
      <c r="B11" s="367"/>
      <c r="C11" s="89"/>
      <c r="D11" s="98"/>
      <c r="E11" s="91"/>
      <c r="F11" s="92"/>
      <c r="G11" s="73"/>
    </row>
    <row r="12" spans="1:7" s="79" customFormat="1" ht="11.55" x14ac:dyDescent="0.25"/>
    <row r="13" spans="1:7" s="79" customFormat="1" ht="11.55" x14ac:dyDescent="0.2">
      <c r="A13" s="360" t="s">
        <v>2401</v>
      </c>
      <c r="B13" s="360"/>
      <c r="C13" s="360"/>
      <c r="D13" s="360"/>
      <c r="E13" s="360"/>
      <c r="F13" s="360"/>
      <c r="G13" s="360"/>
    </row>
    <row r="14" spans="1:7" s="79" customFormat="1" ht="11.55" x14ac:dyDescent="0.2">
      <c r="A14" s="360" t="s">
        <v>2402</v>
      </c>
      <c r="B14" s="360"/>
      <c r="C14" s="360"/>
      <c r="D14" s="360"/>
      <c r="E14" s="360"/>
      <c r="F14" s="360"/>
      <c r="G14" s="360"/>
    </row>
    <row r="15" spans="1:7" s="79" customFormat="1" ht="11.55" x14ac:dyDescent="0.25"/>
  </sheetData>
  <sheetProtection algorithmName="SHA-512" hashValue="Awn++IHyhyWLvie4XcUPYjWLv0YCwp7MCeOQY6zQY0aHgxeT0cBSOKJ00A2K4s3VM1kiJ3pqfnxlNHZNbD1jRw==" saltValue="qnYB74+o9LXjB35ezuoSug==" spinCount="100000" sheet="1" objects="1" scenarios="1"/>
  <mergeCells count="6">
    <mergeCell ref="A14:G14"/>
    <mergeCell ref="A1:F1"/>
    <mergeCell ref="A4:A11"/>
    <mergeCell ref="B4:B6"/>
    <mergeCell ref="B7:B11"/>
    <mergeCell ref="A13:G1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M98"/>
  <sheetViews>
    <sheetView zoomScaleNormal="100" workbookViewId="0">
      <pane ySplit="4" topLeftCell="A39" activePane="bottomLeft" state="frozen"/>
      <selection pane="bottomLeft" activeCell="J61" sqref="J61"/>
    </sheetView>
  </sheetViews>
  <sheetFormatPr defaultColWidth="22.25" defaultRowHeight="10.9" x14ac:dyDescent="0.25"/>
  <cols>
    <col min="1" max="1" width="10.875" style="54" bestFit="1" customWidth="1"/>
    <col min="2" max="2" width="6.125" style="53" bestFit="1" customWidth="1"/>
    <col min="3" max="3" width="6.125" style="53" customWidth="1"/>
    <col min="4" max="4" width="10.75" style="53" bestFit="1" customWidth="1"/>
    <col min="5" max="5" width="8" style="53" bestFit="1" customWidth="1"/>
    <col min="6" max="6" width="8.875" style="54" bestFit="1" customWidth="1"/>
    <col min="7" max="7" width="9.875" style="54" bestFit="1" customWidth="1"/>
    <col min="8" max="10" width="23.125" style="54" customWidth="1"/>
    <col min="11" max="13" width="47.75" style="54" customWidth="1"/>
    <col min="14" max="16384" width="22.25" style="54"/>
  </cols>
  <sheetData>
    <row r="1" spans="1:13" ht="13.6" x14ac:dyDescent="0.25">
      <c r="A1" s="368" t="s">
        <v>714</v>
      </c>
      <c r="B1" s="368"/>
      <c r="C1" s="368"/>
      <c r="D1" s="368"/>
      <c r="E1" s="368"/>
      <c r="F1" s="368"/>
      <c r="H1" s="119" t="s">
        <v>1992</v>
      </c>
      <c r="I1" s="120">
        <f>IF(idiom="ENG",8,IF(idiom="FRA",9,10))</f>
        <v>8</v>
      </c>
    </row>
    <row r="2" spans="1:13" ht="11.55" x14ac:dyDescent="0.25">
      <c r="H2" s="119" t="s">
        <v>1993</v>
      </c>
      <c r="I2" s="120">
        <f>IF(idiom="ENG",11,IF(idiom="FRA",12,13))</f>
        <v>11</v>
      </c>
    </row>
    <row r="4" spans="1:13" x14ac:dyDescent="0.25">
      <c r="A4" s="65" t="s">
        <v>712</v>
      </c>
      <c r="B4" s="66" t="s">
        <v>2054</v>
      </c>
      <c r="C4" s="66" t="s">
        <v>2053</v>
      </c>
      <c r="D4" s="66" t="s">
        <v>2055</v>
      </c>
      <c r="E4" s="66" t="s">
        <v>89</v>
      </c>
      <c r="F4" s="66" t="s">
        <v>713</v>
      </c>
      <c r="G4" s="66" t="s">
        <v>922</v>
      </c>
      <c r="H4" s="66" t="s">
        <v>923</v>
      </c>
      <c r="I4" s="66" t="s">
        <v>924</v>
      </c>
      <c r="J4" s="66" t="s">
        <v>925</v>
      </c>
      <c r="K4" s="66" t="s">
        <v>926</v>
      </c>
      <c r="L4" s="66" t="s">
        <v>927</v>
      </c>
      <c r="M4" s="67" t="s">
        <v>928</v>
      </c>
    </row>
    <row r="5" spans="1:13" x14ac:dyDescent="0.25">
      <c r="A5" s="189" t="s">
        <v>929</v>
      </c>
      <c r="B5" s="190">
        <v>290</v>
      </c>
      <c r="C5" s="190" t="s">
        <v>2056</v>
      </c>
      <c r="D5" s="191" t="s">
        <v>2056</v>
      </c>
      <c r="E5" s="190" t="s">
        <v>2057</v>
      </c>
      <c r="F5" s="191" t="s">
        <v>63</v>
      </c>
      <c r="G5" s="191" t="s">
        <v>443</v>
      </c>
      <c r="H5" s="192" t="s">
        <v>85</v>
      </c>
      <c r="I5" s="192" t="s">
        <v>85</v>
      </c>
      <c r="J5" s="192" t="s">
        <v>85</v>
      </c>
      <c r="K5" s="192" t="s">
        <v>2268</v>
      </c>
      <c r="L5" s="192" t="s">
        <v>2269</v>
      </c>
      <c r="M5" s="192" t="s">
        <v>2270</v>
      </c>
    </row>
    <row r="6" spans="1:13" ht="21.75" x14ac:dyDescent="0.25">
      <c r="A6" s="193" t="s">
        <v>930</v>
      </c>
      <c r="B6" s="190">
        <v>291</v>
      </c>
      <c r="C6" s="190" t="s">
        <v>2056</v>
      </c>
      <c r="D6" s="191" t="s">
        <v>2056</v>
      </c>
      <c r="E6" s="190" t="s">
        <v>2057</v>
      </c>
      <c r="F6" s="191" t="s">
        <v>715</v>
      </c>
      <c r="G6" s="191" t="s">
        <v>443</v>
      </c>
      <c r="H6" s="192" t="s">
        <v>448</v>
      </c>
      <c r="I6" s="192" t="s">
        <v>934</v>
      </c>
      <c r="J6" s="192" t="s">
        <v>935</v>
      </c>
      <c r="K6" s="192" t="s">
        <v>88</v>
      </c>
      <c r="L6" s="192" t="s">
        <v>87</v>
      </c>
      <c r="M6" s="192" t="s">
        <v>86</v>
      </c>
    </row>
    <row r="7" spans="1:13" x14ac:dyDescent="0.25">
      <c r="A7" s="189" t="s">
        <v>987</v>
      </c>
      <c r="B7" s="190">
        <v>292</v>
      </c>
      <c r="C7" s="190" t="s">
        <v>2056</v>
      </c>
      <c r="D7" s="191" t="s">
        <v>2056</v>
      </c>
      <c r="E7" s="190" t="s">
        <v>2057</v>
      </c>
      <c r="F7" s="190" t="s">
        <v>965</v>
      </c>
      <c r="G7" s="190" t="s">
        <v>443</v>
      </c>
      <c r="H7" s="192" t="s">
        <v>1096</v>
      </c>
      <c r="I7" s="192" t="s">
        <v>1097</v>
      </c>
      <c r="J7" s="192" t="s">
        <v>1098</v>
      </c>
      <c r="K7" s="192" t="s">
        <v>1099</v>
      </c>
      <c r="L7" s="192" t="s">
        <v>1100</v>
      </c>
      <c r="M7" s="192" t="s">
        <v>1101</v>
      </c>
    </row>
    <row r="8" spans="1:13" x14ac:dyDescent="0.25">
      <c r="A8" s="194" t="s">
        <v>2223</v>
      </c>
      <c r="B8" s="195">
        <v>111</v>
      </c>
      <c r="C8" s="195" t="s">
        <v>2056</v>
      </c>
      <c r="D8" s="195" t="s">
        <v>2056</v>
      </c>
      <c r="E8" s="195" t="s">
        <v>2057</v>
      </c>
      <c r="F8" s="195" t="s">
        <v>965</v>
      </c>
      <c r="G8" s="195" t="s">
        <v>443</v>
      </c>
      <c r="H8" s="196" t="s">
        <v>2224</v>
      </c>
      <c r="I8" s="196" t="s">
        <v>2224</v>
      </c>
      <c r="J8" s="196" t="s">
        <v>2224</v>
      </c>
      <c r="K8" s="196" t="s">
        <v>443</v>
      </c>
      <c r="L8" s="196" t="s">
        <v>443</v>
      </c>
      <c r="M8" s="197" t="s">
        <v>443</v>
      </c>
    </row>
    <row r="9" spans="1:13" x14ac:dyDescent="0.25">
      <c r="A9" s="193" t="s">
        <v>2058</v>
      </c>
      <c r="B9" s="190">
        <v>293</v>
      </c>
      <c r="C9" s="190" t="s">
        <v>2056</v>
      </c>
      <c r="D9" s="191" t="s">
        <v>2056</v>
      </c>
      <c r="E9" s="190" t="s">
        <v>2057</v>
      </c>
      <c r="F9" s="190" t="s">
        <v>740</v>
      </c>
      <c r="G9" s="190" t="s">
        <v>931</v>
      </c>
      <c r="H9" s="192" t="s">
        <v>711</v>
      </c>
      <c r="I9" s="192" t="s">
        <v>711</v>
      </c>
      <c r="J9" s="192" t="s">
        <v>932</v>
      </c>
      <c r="K9" s="192" t="s">
        <v>2059</v>
      </c>
      <c r="L9" s="192" t="s">
        <v>2060</v>
      </c>
      <c r="M9" s="192" t="s">
        <v>2061</v>
      </c>
    </row>
    <row r="10" spans="1:13" x14ac:dyDescent="0.25">
      <c r="A10" s="193" t="s">
        <v>2062</v>
      </c>
      <c r="B10" s="190">
        <v>294</v>
      </c>
      <c r="C10" s="190" t="s">
        <v>2056</v>
      </c>
      <c r="D10" s="191" t="s">
        <v>2056</v>
      </c>
      <c r="E10" s="190" t="s">
        <v>2057</v>
      </c>
      <c r="F10" s="190" t="s">
        <v>740</v>
      </c>
      <c r="G10" s="190" t="s">
        <v>933</v>
      </c>
      <c r="H10" s="192" t="s">
        <v>84</v>
      </c>
      <c r="I10" s="192" t="s">
        <v>83</v>
      </c>
      <c r="J10" s="192" t="s">
        <v>82</v>
      </c>
      <c r="K10" s="192" t="s">
        <v>2063</v>
      </c>
      <c r="L10" s="192" t="s">
        <v>2064</v>
      </c>
      <c r="M10" s="192" t="s">
        <v>2065</v>
      </c>
    </row>
    <row r="11" spans="1:13" x14ac:dyDescent="0.25">
      <c r="A11" s="189" t="s">
        <v>979</v>
      </c>
      <c r="B11" s="190">
        <v>295</v>
      </c>
      <c r="C11" s="190" t="s">
        <v>2056</v>
      </c>
      <c r="D11" s="191" t="s">
        <v>2056</v>
      </c>
      <c r="E11" s="190" t="s">
        <v>58</v>
      </c>
      <c r="F11" s="190" t="s">
        <v>63</v>
      </c>
      <c r="G11" s="191" t="s">
        <v>443</v>
      </c>
      <c r="H11" s="198" t="s">
        <v>58</v>
      </c>
      <c r="I11" s="198" t="s">
        <v>728</v>
      </c>
      <c r="J11" s="198" t="s">
        <v>729</v>
      </c>
      <c r="K11" s="198" t="s">
        <v>443</v>
      </c>
      <c r="L11" s="198" t="s">
        <v>443</v>
      </c>
      <c r="M11" s="198" t="s">
        <v>443</v>
      </c>
    </row>
    <row r="12" spans="1:13" x14ac:dyDescent="0.25">
      <c r="A12" s="189" t="s">
        <v>936</v>
      </c>
      <c r="B12" s="190">
        <v>296</v>
      </c>
      <c r="C12" s="190" t="s">
        <v>2056</v>
      </c>
      <c r="D12" s="191" t="s">
        <v>2056</v>
      </c>
      <c r="E12" s="190" t="s">
        <v>58</v>
      </c>
      <c r="F12" s="191" t="s">
        <v>965</v>
      </c>
      <c r="G12" s="191" t="s">
        <v>443</v>
      </c>
      <c r="H12" s="198" t="s">
        <v>2212</v>
      </c>
      <c r="I12" s="198" t="s">
        <v>81</v>
      </c>
      <c r="J12" s="192" t="s">
        <v>736</v>
      </c>
      <c r="K12" s="192" t="s">
        <v>443</v>
      </c>
      <c r="L12" s="192" t="s">
        <v>443</v>
      </c>
      <c r="M12" s="192" t="s">
        <v>443</v>
      </c>
    </row>
    <row r="13" spans="1:13" x14ac:dyDescent="0.25">
      <c r="A13" s="193" t="s">
        <v>940</v>
      </c>
      <c r="B13" s="190">
        <v>297</v>
      </c>
      <c r="C13" s="190" t="s">
        <v>2056</v>
      </c>
      <c r="D13" s="191" t="s">
        <v>2056</v>
      </c>
      <c r="E13" s="190" t="s">
        <v>58</v>
      </c>
      <c r="F13" s="190" t="s">
        <v>980</v>
      </c>
      <c r="G13" s="191" t="s">
        <v>443</v>
      </c>
      <c r="H13" s="198" t="s">
        <v>53</v>
      </c>
      <c r="I13" s="198" t="s">
        <v>53</v>
      </c>
      <c r="J13" s="198" t="s">
        <v>52</v>
      </c>
      <c r="K13" s="198" t="s">
        <v>443</v>
      </c>
      <c r="L13" s="198" t="s">
        <v>443</v>
      </c>
      <c r="M13" s="198" t="s">
        <v>443</v>
      </c>
    </row>
    <row r="14" spans="1:13" x14ac:dyDescent="0.25">
      <c r="A14" s="193" t="s">
        <v>944</v>
      </c>
      <c r="B14" s="190">
        <v>298</v>
      </c>
      <c r="C14" s="190" t="s">
        <v>2056</v>
      </c>
      <c r="D14" s="191" t="s">
        <v>2056</v>
      </c>
      <c r="E14" s="190" t="s">
        <v>58</v>
      </c>
      <c r="F14" s="190" t="s">
        <v>980</v>
      </c>
      <c r="G14" s="191" t="s">
        <v>443</v>
      </c>
      <c r="H14" s="198" t="s">
        <v>51</v>
      </c>
      <c r="I14" s="198" t="s">
        <v>51</v>
      </c>
      <c r="J14" s="198" t="s">
        <v>50</v>
      </c>
      <c r="K14" s="198" t="s">
        <v>443</v>
      </c>
      <c r="L14" s="198" t="s">
        <v>443</v>
      </c>
      <c r="M14" s="198" t="s">
        <v>443</v>
      </c>
    </row>
    <row r="15" spans="1:13" x14ac:dyDescent="0.25">
      <c r="A15" s="193" t="s">
        <v>937</v>
      </c>
      <c r="B15" s="190">
        <v>299</v>
      </c>
      <c r="C15" s="190" t="s">
        <v>2056</v>
      </c>
      <c r="D15" s="191" t="s">
        <v>2056</v>
      </c>
      <c r="E15" s="190" t="s">
        <v>58</v>
      </c>
      <c r="F15" s="191" t="s">
        <v>965</v>
      </c>
      <c r="G15" s="191" t="s">
        <v>443</v>
      </c>
      <c r="H15" s="192" t="s">
        <v>988</v>
      </c>
      <c r="I15" s="192" t="s">
        <v>737</v>
      </c>
      <c r="J15" s="192" t="s">
        <v>989</v>
      </c>
      <c r="K15" s="192" t="s">
        <v>443</v>
      </c>
      <c r="L15" s="192" t="s">
        <v>443</v>
      </c>
      <c r="M15" s="192" t="s">
        <v>443</v>
      </c>
    </row>
    <row r="16" spans="1:13" x14ac:dyDescent="0.25">
      <c r="A16" s="199" t="s">
        <v>945</v>
      </c>
      <c r="B16" s="190">
        <v>300</v>
      </c>
      <c r="C16" s="190" t="s">
        <v>2056</v>
      </c>
      <c r="D16" s="191" t="s">
        <v>2056</v>
      </c>
      <c r="E16" s="190" t="s">
        <v>58</v>
      </c>
      <c r="F16" s="191" t="s">
        <v>980</v>
      </c>
      <c r="G16" s="191" t="s">
        <v>443</v>
      </c>
      <c r="H16" s="198" t="s">
        <v>990</v>
      </c>
      <c r="I16" s="192" t="s">
        <v>991</v>
      </c>
      <c r="J16" s="192" t="s">
        <v>992</v>
      </c>
      <c r="K16" s="192" t="s">
        <v>443</v>
      </c>
      <c r="L16" s="192" t="s">
        <v>443</v>
      </c>
      <c r="M16" s="192" t="s">
        <v>443</v>
      </c>
    </row>
    <row r="17" spans="1:13" ht="21.75" x14ac:dyDescent="0.25">
      <c r="A17" s="193" t="s">
        <v>938</v>
      </c>
      <c r="B17" s="190">
        <v>301</v>
      </c>
      <c r="C17" s="190" t="s">
        <v>2056</v>
      </c>
      <c r="D17" s="191" t="s">
        <v>2056</v>
      </c>
      <c r="E17" s="190" t="s">
        <v>58</v>
      </c>
      <c r="F17" s="191" t="s">
        <v>965</v>
      </c>
      <c r="G17" s="191" t="s">
        <v>443</v>
      </c>
      <c r="H17" s="192" t="s">
        <v>80</v>
      </c>
      <c r="I17" s="192" t="s">
        <v>2066</v>
      </c>
      <c r="J17" s="192" t="s">
        <v>2067</v>
      </c>
      <c r="K17" s="192" t="s">
        <v>443</v>
      </c>
      <c r="L17" s="192" t="s">
        <v>443</v>
      </c>
      <c r="M17" s="192" t="s">
        <v>443</v>
      </c>
    </row>
    <row r="18" spans="1:13" x14ac:dyDescent="0.25">
      <c r="A18" s="193" t="s">
        <v>993</v>
      </c>
      <c r="B18" s="190">
        <v>302</v>
      </c>
      <c r="C18" s="190" t="s">
        <v>2056</v>
      </c>
      <c r="D18" s="191" t="s">
        <v>2056</v>
      </c>
      <c r="E18" s="190" t="s">
        <v>58</v>
      </c>
      <c r="F18" s="190" t="s">
        <v>980</v>
      </c>
      <c r="G18" s="191" t="s">
        <v>443</v>
      </c>
      <c r="H18" s="192" t="s">
        <v>49</v>
      </c>
      <c r="I18" s="192" t="s">
        <v>77</v>
      </c>
      <c r="J18" s="192" t="s">
        <v>76</v>
      </c>
      <c r="K18" s="192" t="s">
        <v>443</v>
      </c>
      <c r="L18" s="192" t="s">
        <v>443</v>
      </c>
      <c r="M18" s="192" t="s">
        <v>443</v>
      </c>
    </row>
    <row r="19" spans="1:13" x14ac:dyDescent="0.25">
      <c r="A19" s="193" t="s">
        <v>995</v>
      </c>
      <c r="B19" s="190">
        <v>303</v>
      </c>
      <c r="C19" s="190" t="s">
        <v>2056</v>
      </c>
      <c r="D19" s="191" t="s">
        <v>2056</v>
      </c>
      <c r="E19" s="190" t="s">
        <v>58</v>
      </c>
      <c r="F19" s="190" t="s">
        <v>980</v>
      </c>
      <c r="G19" s="191" t="s">
        <v>443</v>
      </c>
      <c r="H19" s="198" t="s">
        <v>994</v>
      </c>
      <c r="I19" s="198" t="s">
        <v>79</v>
      </c>
      <c r="J19" s="198" t="s">
        <v>78</v>
      </c>
      <c r="K19" s="198" t="s">
        <v>443</v>
      </c>
      <c r="L19" s="198" t="s">
        <v>443</v>
      </c>
      <c r="M19" s="198" t="s">
        <v>443</v>
      </c>
    </row>
    <row r="20" spans="1:13" x14ac:dyDescent="0.25">
      <c r="A20" s="199" t="s">
        <v>996</v>
      </c>
      <c r="B20" s="190">
        <v>304</v>
      </c>
      <c r="C20" s="190" t="s">
        <v>2056</v>
      </c>
      <c r="D20" s="191" t="s">
        <v>2056</v>
      </c>
      <c r="E20" s="190" t="s">
        <v>58</v>
      </c>
      <c r="F20" s="190" t="s">
        <v>980</v>
      </c>
      <c r="G20" s="191" t="s">
        <v>443</v>
      </c>
      <c r="H20" s="198" t="s">
        <v>2049</v>
      </c>
      <c r="I20" s="198" t="s">
        <v>2050</v>
      </c>
      <c r="J20" s="198" t="s">
        <v>2051</v>
      </c>
      <c r="K20" s="198" t="s">
        <v>443</v>
      </c>
      <c r="L20" s="198" t="s">
        <v>443</v>
      </c>
      <c r="M20" s="198" t="s">
        <v>443</v>
      </c>
    </row>
    <row r="21" spans="1:13" x14ac:dyDescent="0.25">
      <c r="A21" s="189" t="s">
        <v>939</v>
      </c>
      <c r="B21" s="190">
        <v>305</v>
      </c>
      <c r="C21" s="190" t="s">
        <v>2056</v>
      </c>
      <c r="D21" s="191" t="s">
        <v>2056</v>
      </c>
      <c r="E21" s="190" t="s">
        <v>58</v>
      </c>
      <c r="F21" s="191" t="s">
        <v>965</v>
      </c>
      <c r="G21" s="191" t="s">
        <v>443</v>
      </c>
      <c r="H21" s="198" t="s">
        <v>738</v>
      </c>
      <c r="I21" s="192" t="s">
        <v>1102</v>
      </c>
      <c r="J21" s="198" t="s">
        <v>739</v>
      </c>
      <c r="K21" s="198" t="s">
        <v>443</v>
      </c>
      <c r="L21" s="198" t="s">
        <v>443</v>
      </c>
      <c r="M21" s="198" t="s">
        <v>443</v>
      </c>
    </row>
    <row r="22" spans="1:13" ht="21.75" x14ac:dyDescent="0.25">
      <c r="A22" s="189" t="s">
        <v>941</v>
      </c>
      <c r="B22" s="190">
        <v>306</v>
      </c>
      <c r="C22" s="190" t="s">
        <v>2056</v>
      </c>
      <c r="D22" s="191" t="s">
        <v>2056</v>
      </c>
      <c r="E22" s="190" t="s">
        <v>58</v>
      </c>
      <c r="F22" s="191" t="s">
        <v>740</v>
      </c>
      <c r="G22" s="190" t="s">
        <v>2014</v>
      </c>
      <c r="H22" s="198" t="s">
        <v>45</v>
      </c>
      <c r="I22" s="198" t="s">
        <v>44</v>
      </c>
      <c r="J22" s="198" t="s">
        <v>5</v>
      </c>
      <c r="K22" s="198" t="s">
        <v>2068</v>
      </c>
      <c r="L22" s="198" t="s">
        <v>2069</v>
      </c>
      <c r="M22" s="198" t="s">
        <v>2070</v>
      </c>
    </row>
    <row r="23" spans="1:13" x14ac:dyDescent="0.25">
      <c r="A23" s="189" t="s">
        <v>942</v>
      </c>
      <c r="B23" s="190">
        <v>307</v>
      </c>
      <c r="C23" s="190" t="s">
        <v>2056</v>
      </c>
      <c r="D23" s="191" t="s">
        <v>2056</v>
      </c>
      <c r="E23" s="190" t="s">
        <v>58</v>
      </c>
      <c r="F23" s="191" t="s">
        <v>740</v>
      </c>
      <c r="G23" s="190" t="s">
        <v>2014</v>
      </c>
      <c r="H23" s="198" t="s">
        <v>43</v>
      </c>
      <c r="I23" s="198" t="s">
        <v>43</v>
      </c>
      <c r="J23" s="198" t="s">
        <v>43</v>
      </c>
      <c r="K23" s="198" t="s">
        <v>2071</v>
      </c>
      <c r="L23" s="198" t="s">
        <v>2072</v>
      </c>
      <c r="M23" s="198" t="s">
        <v>2073</v>
      </c>
    </row>
    <row r="24" spans="1:13" x14ac:dyDescent="0.25">
      <c r="A24" s="189" t="s">
        <v>943</v>
      </c>
      <c r="B24" s="190">
        <v>308</v>
      </c>
      <c r="C24" s="190" t="s">
        <v>2056</v>
      </c>
      <c r="D24" s="191" t="s">
        <v>2056</v>
      </c>
      <c r="E24" s="190" t="s">
        <v>58</v>
      </c>
      <c r="F24" s="191" t="s">
        <v>740</v>
      </c>
      <c r="G24" s="190" t="s">
        <v>2014</v>
      </c>
      <c r="H24" s="198" t="s">
        <v>42</v>
      </c>
      <c r="I24" s="198" t="s">
        <v>41</v>
      </c>
      <c r="J24" s="198" t="s">
        <v>40</v>
      </c>
      <c r="K24" s="198" t="s">
        <v>2074</v>
      </c>
      <c r="L24" s="198" t="s">
        <v>2075</v>
      </c>
      <c r="M24" s="198" t="s">
        <v>2076</v>
      </c>
    </row>
    <row r="25" spans="1:13" ht="21.75" x14ac:dyDescent="0.25">
      <c r="A25" s="189" t="s">
        <v>946</v>
      </c>
      <c r="B25" s="190">
        <v>309</v>
      </c>
      <c r="C25" s="190" t="s">
        <v>2056</v>
      </c>
      <c r="D25" s="191" t="s">
        <v>2056</v>
      </c>
      <c r="E25" s="190" t="s">
        <v>58</v>
      </c>
      <c r="F25" s="191" t="s">
        <v>740</v>
      </c>
      <c r="G25" s="190" t="s">
        <v>2014</v>
      </c>
      <c r="H25" s="198" t="s">
        <v>39</v>
      </c>
      <c r="I25" s="198" t="s">
        <v>39</v>
      </c>
      <c r="J25" s="198" t="s">
        <v>38</v>
      </c>
      <c r="K25" s="198" t="s">
        <v>2077</v>
      </c>
      <c r="L25" s="198" t="s">
        <v>2078</v>
      </c>
      <c r="M25" s="198" t="s">
        <v>2079</v>
      </c>
    </row>
    <row r="26" spans="1:13" x14ac:dyDescent="0.25">
      <c r="A26" s="189" t="s">
        <v>947</v>
      </c>
      <c r="B26" s="190">
        <v>310</v>
      </c>
      <c r="C26" s="190" t="s">
        <v>2056</v>
      </c>
      <c r="D26" s="191" t="s">
        <v>2056</v>
      </c>
      <c r="E26" s="190" t="s">
        <v>58</v>
      </c>
      <c r="F26" s="191" t="s">
        <v>740</v>
      </c>
      <c r="G26" s="190" t="s">
        <v>2014</v>
      </c>
      <c r="H26" s="198" t="s">
        <v>37</v>
      </c>
      <c r="I26" s="198" t="s">
        <v>36</v>
      </c>
      <c r="J26" s="198" t="s">
        <v>35</v>
      </c>
      <c r="K26" s="198" t="s">
        <v>2080</v>
      </c>
      <c r="L26" s="198" t="s">
        <v>2081</v>
      </c>
      <c r="M26" s="198" t="s">
        <v>2082</v>
      </c>
    </row>
    <row r="27" spans="1:13" x14ac:dyDescent="0.25">
      <c r="A27" s="189" t="s">
        <v>948</v>
      </c>
      <c r="B27" s="190">
        <v>311</v>
      </c>
      <c r="C27" s="190" t="s">
        <v>2056</v>
      </c>
      <c r="D27" s="191" t="s">
        <v>2056</v>
      </c>
      <c r="E27" s="190" t="s">
        <v>58</v>
      </c>
      <c r="F27" s="191" t="s">
        <v>740</v>
      </c>
      <c r="G27" s="190" t="s">
        <v>2014</v>
      </c>
      <c r="H27" s="198" t="s">
        <v>34</v>
      </c>
      <c r="I27" s="198" t="s">
        <v>33</v>
      </c>
      <c r="J27" s="198" t="s">
        <v>32</v>
      </c>
      <c r="K27" s="198" t="s">
        <v>2083</v>
      </c>
      <c r="L27" s="198" t="s">
        <v>2084</v>
      </c>
      <c r="M27" s="198" t="s">
        <v>2085</v>
      </c>
    </row>
    <row r="28" spans="1:13" x14ac:dyDescent="0.25">
      <c r="A28" s="189" t="s">
        <v>949</v>
      </c>
      <c r="B28" s="190">
        <v>312</v>
      </c>
      <c r="C28" s="190" t="s">
        <v>2056</v>
      </c>
      <c r="D28" s="191" t="s">
        <v>2056</v>
      </c>
      <c r="E28" s="190" t="s">
        <v>58</v>
      </c>
      <c r="F28" s="191" t="s">
        <v>740</v>
      </c>
      <c r="G28" s="190" t="s">
        <v>933</v>
      </c>
      <c r="H28" s="192" t="s">
        <v>31</v>
      </c>
      <c r="I28" s="198" t="s">
        <v>30</v>
      </c>
      <c r="J28" s="198" t="s">
        <v>29</v>
      </c>
      <c r="K28" s="198" t="s">
        <v>2086</v>
      </c>
      <c r="L28" s="198" t="s">
        <v>2087</v>
      </c>
      <c r="M28" s="198" t="s">
        <v>2088</v>
      </c>
    </row>
    <row r="29" spans="1:13" ht="21.75" x14ac:dyDescent="0.25">
      <c r="A29" s="189" t="s">
        <v>950</v>
      </c>
      <c r="B29" s="190">
        <v>313</v>
      </c>
      <c r="C29" s="190" t="s">
        <v>2056</v>
      </c>
      <c r="D29" s="191" t="s">
        <v>2056</v>
      </c>
      <c r="E29" s="190" t="s">
        <v>58</v>
      </c>
      <c r="F29" s="191" t="s">
        <v>740</v>
      </c>
      <c r="G29" s="190" t="s">
        <v>933</v>
      </c>
      <c r="H29" s="192" t="s">
        <v>997</v>
      </c>
      <c r="I29" s="192" t="s">
        <v>28</v>
      </c>
      <c r="J29" s="192" t="s">
        <v>1103</v>
      </c>
      <c r="K29" s="192" t="s">
        <v>2089</v>
      </c>
      <c r="L29" s="192" t="s">
        <v>2090</v>
      </c>
      <c r="M29" s="192" t="s">
        <v>2091</v>
      </c>
    </row>
    <row r="30" spans="1:13" ht="32.6" x14ac:dyDescent="0.25">
      <c r="A30" s="189" t="s">
        <v>2009</v>
      </c>
      <c r="B30" s="190">
        <v>314</v>
      </c>
      <c r="C30" s="190" t="s">
        <v>2056</v>
      </c>
      <c r="D30" s="191" t="s">
        <v>2056</v>
      </c>
      <c r="E30" s="190" t="s">
        <v>58</v>
      </c>
      <c r="F30" s="190" t="s">
        <v>740</v>
      </c>
      <c r="G30" s="190" t="s">
        <v>998</v>
      </c>
      <c r="H30" s="192" t="s">
        <v>2003</v>
      </c>
      <c r="I30" s="192" t="s">
        <v>2004</v>
      </c>
      <c r="J30" s="192" t="s">
        <v>2005</v>
      </c>
      <c r="K30" s="192" t="s">
        <v>2092</v>
      </c>
      <c r="L30" s="192" t="s">
        <v>2093</v>
      </c>
      <c r="M30" s="192" t="s">
        <v>2094</v>
      </c>
    </row>
    <row r="31" spans="1:13" ht="32.6" x14ac:dyDescent="0.25">
      <c r="A31" s="189" t="s">
        <v>2010</v>
      </c>
      <c r="B31" s="190">
        <v>315</v>
      </c>
      <c r="C31" s="190" t="s">
        <v>2056</v>
      </c>
      <c r="D31" s="191" t="s">
        <v>2056</v>
      </c>
      <c r="E31" s="190" t="s">
        <v>58</v>
      </c>
      <c r="F31" s="190" t="s">
        <v>740</v>
      </c>
      <c r="G31" s="190" t="s">
        <v>998</v>
      </c>
      <c r="H31" s="192" t="s">
        <v>2006</v>
      </c>
      <c r="I31" s="192" t="s">
        <v>2007</v>
      </c>
      <c r="J31" s="192" t="s">
        <v>2008</v>
      </c>
      <c r="K31" s="192" t="s">
        <v>2095</v>
      </c>
      <c r="L31" s="192" t="s">
        <v>2096</v>
      </c>
      <c r="M31" s="192" t="s">
        <v>2097</v>
      </c>
    </row>
    <row r="32" spans="1:13" x14ac:dyDescent="0.25">
      <c r="A32" s="199" t="s">
        <v>999</v>
      </c>
      <c r="B32" s="190">
        <v>316</v>
      </c>
      <c r="C32" s="190" t="s">
        <v>2056</v>
      </c>
      <c r="D32" s="191" t="s">
        <v>2056</v>
      </c>
      <c r="E32" s="190" t="s">
        <v>58</v>
      </c>
      <c r="F32" s="191" t="s">
        <v>740</v>
      </c>
      <c r="G32" s="191" t="s">
        <v>933</v>
      </c>
      <c r="H32" s="192" t="s">
        <v>1000</v>
      </c>
      <c r="I32" s="192" t="s">
        <v>1001</v>
      </c>
      <c r="J32" s="192" t="s">
        <v>1002</v>
      </c>
      <c r="K32" s="192" t="s">
        <v>2098</v>
      </c>
      <c r="L32" s="192" t="s">
        <v>2099</v>
      </c>
      <c r="M32" s="192" t="s">
        <v>2100</v>
      </c>
    </row>
    <row r="33" spans="1:13" ht="21.75" x14ac:dyDescent="0.25">
      <c r="A33" s="189" t="s">
        <v>951</v>
      </c>
      <c r="B33" s="190">
        <v>317</v>
      </c>
      <c r="C33" s="190" t="s">
        <v>2056</v>
      </c>
      <c r="D33" s="191" t="s">
        <v>2056</v>
      </c>
      <c r="E33" s="190" t="s">
        <v>58</v>
      </c>
      <c r="F33" s="191" t="s">
        <v>740</v>
      </c>
      <c r="G33" s="190" t="s">
        <v>933</v>
      </c>
      <c r="H33" s="198" t="s">
        <v>27</v>
      </c>
      <c r="I33" s="198" t="s">
        <v>26</v>
      </c>
      <c r="J33" s="198" t="s">
        <v>25</v>
      </c>
      <c r="K33" s="198" t="s">
        <v>2101</v>
      </c>
      <c r="L33" s="198" t="s">
        <v>2102</v>
      </c>
      <c r="M33" s="198" t="s">
        <v>2103</v>
      </c>
    </row>
    <row r="34" spans="1:13" ht="32.6" x14ac:dyDescent="0.25">
      <c r="A34" s="193" t="s">
        <v>960</v>
      </c>
      <c r="B34" s="190">
        <v>318</v>
      </c>
      <c r="C34" s="190" t="s">
        <v>2056</v>
      </c>
      <c r="D34" s="191" t="s">
        <v>2056</v>
      </c>
      <c r="E34" s="190" t="s">
        <v>58</v>
      </c>
      <c r="F34" s="190" t="s">
        <v>740</v>
      </c>
      <c r="G34" s="190" t="s">
        <v>933</v>
      </c>
      <c r="H34" s="192" t="s">
        <v>961</v>
      </c>
      <c r="I34" s="192" t="s">
        <v>962</v>
      </c>
      <c r="J34" s="192" t="s">
        <v>963</v>
      </c>
      <c r="K34" s="192" t="s">
        <v>2104</v>
      </c>
      <c r="L34" s="192" t="s">
        <v>2105</v>
      </c>
      <c r="M34" s="192" t="s">
        <v>2106</v>
      </c>
    </row>
    <row r="35" spans="1:13" ht="21.75" x14ac:dyDescent="0.25">
      <c r="A35" s="199" t="s">
        <v>953</v>
      </c>
      <c r="B35" s="190">
        <v>319</v>
      </c>
      <c r="C35" s="190" t="s">
        <v>2056</v>
      </c>
      <c r="D35" s="191" t="s">
        <v>2056</v>
      </c>
      <c r="E35" s="190" t="s">
        <v>58</v>
      </c>
      <c r="F35" s="191" t="s">
        <v>740</v>
      </c>
      <c r="G35" s="190" t="s">
        <v>933</v>
      </c>
      <c r="H35" s="198" t="s">
        <v>13</v>
      </c>
      <c r="I35" s="198" t="s">
        <v>12</v>
      </c>
      <c r="J35" s="198" t="s">
        <v>11</v>
      </c>
      <c r="K35" s="198" t="s">
        <v>2107</v>
      </c>
      <c r="L35" s="198" t="s">
        <v>2108</v>
      </c>
      <c r="M35" s="198" t="s">
        <v>2109</v>
      </c>
    </row>
    <row r="36" spans="1:13" ht="21.75" x14ac:dyDescent="0.25">
      <c r="A36" s="193" t="s">
        <v>2220</v>
      </c>
      <c r="B36" s="190">
        <v>320</v>
      </c>
      <c r="C36" s="190" t="s">
        <v>2056</v>
      </c>
      <c r="D36" s="191" t="s">
        <v>2056</v>
      </c>
      <c r="E36" s="190" t="s">
        <v>58</v>
      </c>
      <c r="F36" s="191" t="s">
        <v>740</v>
      </c>
      <c r="G36" s="190" t="s">
        <v>933</v>
      </c>
      <c r="H36" s="198" t="s">
        <v>24</v>
      </c>
      <c r="I36" s="198" t="s">
        <v>23</v>
      </c>
      <c r="J36" s="198" t="s">
        <v>22</v>
      </c>
      <c r="K36" s="198" t="s">
        <v>2110</v>
      </c>
      <c r="L36" s="198" t="s">
        <v>2111</v>
      </c>
      <c r="M36" s="198" t="s">
        <v>2112</v>
      </c>
    </row>
    <row r="37" spans="1:13" ht="21.75" x14ac:dyDescent="0.25">
      <c r="A37" s="199" t="s">
        <v>1003</v>
      </c>
      <c r="B37" s="190">
        <v>321</v>
      </c>
      <c r="C37" s="190" t="s">
        <v>2056</v>
      </c>
      <c r="D37" s="191" t="s">
        <v>2056</v>
      </c>
      <c r="E37" s="190" t="s">
        <v>58</v>
      </c>
      <c r="F37" s="191" t="s">
        <v>740</v>
      </c>
      <c r="G37" s="190" t="s">
        <v>933</v>
      </c>
      <c r="H37" s="198" t="s">
        <v>1004</v>
      </c>
      <c r="I37" s="198" t="s">
        <v>1005</v>
      </c>
      <c r="J37" s="198" t="s">
        <v>1006</v>
      </c>
      <c r="K37" s="198" t="s">
        <v>2113</v>
      </c>
      <c r="L37" s="198" t="s">
        <v>2114</v>
      </c>
      <c r="M37" s="198" t="s">
        <v>2115</v>
      </c>
    </row>
    <row r="38" spans="1:13" ht="21.75" x14ac:dyDescent="0.25">
      <c r="A38" s="199" t="s">
        <v>952</v>
      </c>
      <c r="B38" s="190">
        <v>322</v>
      </c>
      <c r="C38" s="190" t="s">
        <v>2056</v>
      </c>
      <c r="D38" s="191" t="s">
        <v>2056</v>
      </c>
      <c r="E38" s="190" t="s">
        <v>58</v>
      </c>
      <c r="F38" s="191" t="s">
        <v>740</v>
      </c>
      <c r="G38" s="191" t="s">
        <v>933</v>
      </c>
      <c r="H38" s="198" t="s">
        <v>1007</v>
      </c>
      <c r="I38" s="198" t="s">
        <v>1008</v>
      </c>
      <c r="J38" s="198" t="s">
        <v>1009</v>
      </c>
      <c r="K38" s="198" t="s">
        <v>2116</v>
      </c>
      <c r="L38" s="198" t="s">
        <v>2117</v>
      </c>
      <c r="M38" s="198" t="s">
        <v>2118</v>
      </c>
    </row>
    <row r="39" spans="1:13" ht="21.75" x14ac:dyDescent="0.25">
      <c r="A39" s="199" t="s">
        <v>1010</v>
      </c>
      <c r="B39" s="190">
        <v>323</v>
      </c>
      <c r="C39" s="190" t="s">
        <v>2056</v>
      </c>
      <c r="D39" s="191" t="s">
        <v>2056</v>
      </c>
      <c r="E39" s="190" t="s">
        <v>58</v>
      </c>
      <c r="F39" s="191" t="s">
        <v>740</v>
      </c>
      <c r="G39" s="191" t="s">
        <v>1011</v>
      </c>
      <c r="H39" s="198" t="s">
        <v>1012</v>
      </c>
      <c r="I39" s="198" t="s">
        <v>1013</v>
      </c>
      <c r="J39" s="198" t="s">
        <v>1014</v>
      </c>
      <c r="K39" s="198" t="s">
        <v>2119</v>
      </c>
      <c r="L39" s="198" t="s">
        <v>2120</v>
      </c>
      <c r="M39" s="198" t="s">
        <v>2121</v>
      </c>
    </row>
    <row r="40" spans="1:13" ht="32.6" x14ac:dyDescent="0.25">
      <c r="A40" s="199" t="s">
        <v>2052</v>
      </c>
      <c r="B40" s="190">
        <v>324</v>
      </c>
      <c r="C40" s="190" t="s">
        <v>2056</v>
      </c>
      <c r="D40" s="191" t="s">
        <v>2056</v>
      </c>
      <c r="E40" s="190" t="s">
        <v>58</v>
      </c>
      <c r="F40" s="191" t="s">
        <v>740</v>
      </c>
      <c r="G40" s="190" t="s">
        <v>933</v>
      </c>
      <c r="H40" s="198" t="s">
        <v>2122</v>
      </c>
      <c r="I40" s="198" t="s">
        <v>2123</v>
      </c>
      <c r="J40" s="198" t="s">
        <v>2124</v>
      </c>
      <c r="K40" s="198" t="s">
        <v>2125</v>
      </c>
      <c r="L40" s="198" t="s">
        <v>2126</v>
      </c>
      <c r="M40" s="198" t="s">
        <v>2127</v>
      </c>
    </row>
    <row r="41" spans="1:13" x14ac:dyDescent="0.25">
      <c r="A41" s="199" t="s">
        <v>954</v>
      </c>
      <c r="B41" s="190">
        <v>325</v>
      </c>
      <c r="C41" s="190" t="s">
        <v>2056</v>
      </c>
      <c r="D41" s="191" t="s">
        <v>2056</v>
      </c>
      <c r="E41" s="190" t="s">
        <v>58</v>
      </c>
      <c r="F41" s="191" t="s">
        <v>740</v>
      </c>
      <c r="G41" s="191" t="s">
        <v>998</v>
      </c>
      <c r="H41" s="198" t="s">
        <v>21</v>
      </c>
      <c r="I41" s="198" t="s">
        <v>20</v>
      </c>
      <c r="J41" s="198" t="s">
        <v>19</v>
      </c>
      <c r="K41" s="198" t="s">
        <v>2128</v>
      </c>
      <c r="L41" s="198" t="s">
        <v>2129</v>
      </c>
      <c r="M41" s="198" t="s">
        <v>2130</v>
      </c>
    </row>
    <row r="42" spans="1:13" ht="21.75" x14ac:dyDescent="0.25">
      <c r="A42" s="199" t="s">
        <v>955</v>
      </c>
      <c r="B42" s="190">
        <v>326</v>
      </c>
      <c r="C42" s="190" t="s">
        <v>2056</v>
      </c>
      <c r="D42" s="191" t="s">
        <v>2056</v>
      </c>
      <c r="E42" s="190" t="s">
        <v>58</v>
      </c>
      <c r="F42" s="191" t="s">
        <v>740</v>
      </c>
      <c r="G42" s="191" t="s">
        <v>933</v>
      </c>
      <c r="H42" s="198" t="s">
        <v>18</v>
      </c>
      <c r="I42" s="198" t="s">
        <v>17</v>
      </c>
      <c r="J42" s="198" t="s">
        <v>16</v>
      </c>
      <c r="K42" s="198" t="s">
        <v>2131</v>
      </c>
      <c r="L42" s="198" t="s">
        <v>2132</v>
      </c>
      <c r="M42" s="198" t="s">
        <v>2133</v>
      </c>
    </row>
    <row r="43" spans="1:13" x14ac:dyDescent="0.25">
      <c r="A43" s="193" t="s">
        <v>956</v>
      </c>
      <c r="B43" s="190">
        <v>327</v>
      </c>
      <c r="C43" s="190" t="s">
        <v>2056</v>
      </c>
      <c r="D43" s="191" t="s">
        <v>2056</v>
      </c>
      <c r="E43" s="190" t="s">
        <v>58</v>
      </c>
      <c r="F43" s="191" t="s">
        <v>740</v>
      </c>
      <c r="G43" s="190" t="s">
        <v>1015</v>
      </c>
      <c r="H43" s="198" t="s">
        <v>741</v>
      </c>
      <c r="I43" s="192" t="s">
        <v>1104</v>
      </c>
      <c r="J43" s="198" t="s">
        <v>742</v>
      </c>
      <c r="K43" s="198" t="s">
        <v>988</v>
      </c>
      <c r="L43" s="198" t="s">
        <v>737</v>
      </c>
      <c r="M43" s="198" t="s">
        <v>1016</v>
      </c>
    </row>
    <row r="44" spans="1:13" x14ac:dyDescent="0.25">
      <c r="A44" s="189" t="s">
        <v>957</v>
      </c>
      <c r="B44" s="190">
        <v>328</v>
      </c>
      <c r="C44" s="190" t="s">
        <v>2056</v>
      </c>
      <c r="D44" s="191" t="s">
        <v>2056</v>
      </c>
      <c r="E44" s="190" t="s">
        <v>58</v>
      </c>
      <c r="F44" s="191" t="s">
        <v>740</v>
      </c>
      <c r="G44" s="190" t="s">
        <v>933</v>
      </c>
      <c r="H44" s="198" t="s">
        <v>743</v>
      </c>
      <c r="I44" s="198" t="s">
        <v>744</v>
      </c>
      <c r="J44" s="198" t="s">
        <v>745</v>
      </c>
      <c r="K44" s="198" t="s">
        <v>988</v>
      </c>
      <c r="L44" s="198" t="s">
        <v>737</v>
      </c>
      <c r="M44" s="198" t="s">
        <v>989</v>
      </c>
    </row>
    <row r="45" spans="1:13" ht="21.75" x14ac:dyDescent="0.25">
      <c r="A45" s="193" t="s">
        <v>958</v>
      </c>
      <c r="B45" s="190">
        <v>329</v>
      </c>
      <c r="C45" s="190" t="s">
        <v>2056</v>
      </c>
      <c r="D45" s="191" t="s">
        <v>2056</v>
      </c>
      <c r="E45" s="190" t="s">
        <v>58</v>
      </c>
      <c r="F45" s="191" t="s">
        <v>740</v>
      </c>
      <c r="G45" s="190" t="s">
        <v>2014</v>
      </c>
      <c r="H45" s="192" t="s">
        <v>746</v>
      </c>
      <c r="I45" s="192" t="s">
        <v>747</v>
      </c>
      <c r="J45" s="192" t="s">
        <v>748</v>
      </c>
      <c r="K45" s="192" t="s">
        <v>1017</v>
      </c>
      <c r="L45" s="192" t="s">
        <v>2134</v>
      </c>
      <c r="M45" s="192" t="s">
        <v>1105</v>
      </c>
    </row>
    <row r="46" spans="1:13" x14ac:dyDescent="0.25">
      <c r="A46" s="193" t="s">
        <v>1018</v>
      </c>
      <c r="B46" s="190">
        <v>330</v>
      </c>
      <c r="C46" s="190" t="s">
        <v>2056</v>
      </c>
      <c r="D46" s="191" t="s">
        <v>2056</v>
      </c>
      <c r="E46" s="190" t="s">
        <v>58</v>
      </c>
      <c r="F46" s="190" t="s">
        <v>740</v>
      </c>
      <c r="G46" s="190" t="s">
        <v>1011</v>
      </c>
      <c r="H46" s="192" t="s">
        <v>916</v>
      </c>
      <c r="I46" s="192" t="s">
        <v>1019</v>
      </c>
      <c r="J46" s="192" t="s">
        <v>1020</v>
      </c>
      <c r="K46" s="192" t="s">
        <v>988</v>
      </c>
      <c r="L46" s="192" t="s">
        <v>737</v>
      </c>
      <c r="M46" s="192" t="s">
        <v>1016</v>
      </c>
    </row>
    <row r="47" spans="1:13" x14ac:dyDescent="0.25">
      <c r="A47" s="193" t="s">
        <v>1021</v>
      </c>
      <c r="B47" s="190">
        <v>331</v>
      </c>
      <c r="C47" s="190" t="s">
        <v>2056</v>
      </c>
      <c r="D47" s="191" t="s">
        <v>2056</v>
      </c>
      <c r="E47" s="190" t="s">
        <v>58</v>
      </c>
      <c r="F47" s="190" t="s">
        <v>740</v>
      </c>
      <c r="G47" s="190" t="s">
        <v>1011</v>
      </c>
      <c r="H47" s="192" t="s">
        <v>917</v>
      </c>
      <c r="I47" s="192" t="s">
        <v>1022</v>
      </c>
      <c r="J47" s="192" t="s">
        <v>1023</v>
      </c>
      <c r="K47" s="192" t="s">
        <v>988</v>
      </c>
      <c r="L47" s="192" t="s">
        <v>737</v>
      </c>
      <c r="M47" s="192" t="s">
        <v>1016</v>
      </c>
    </row>
    <row r="48" spans="1:13" ht="21.75" x14ac:dyDescent="0.25">
      <c r="A48" s="193" t="s">
        <v>959</v>
      </c>
      <c r="B48" s="190">
        <v>332</v>
      </c>
      <c r="C48" s="190" t="s">
        <v>2056</v>
      </c>
      <c r="D48" s="191" t="s">
        <v>2056</v>
      </c>
      <c r="E48" s="190" t="s">
        <v>58</v>
      </c>
      <c r="F48" s="191" t="s">
        <v>740</v>
      </c>
      <c r="G48" s="190" t="s">
        <v>2014</v>
      </c>
      <c r="H48" s="198" t="s">
        <v>15</v>
      </c>
      <c r="I48" s="198" t="s">
        <v>15</v>
      </c>
      <c r="J48" s="198" t="s">
        <v>14</v>
      </c>
      <c r="K48" s="198" t="s">
        <v>2135</v>
      </c>
      <c r="L48" s="198" t="s">
        <v>2136</v>
      </c>
      <c r="M48" s="198" t="s">
        <v>2137</v>
      </c>
    </row>
    <row r="49" spans="1:13" x14ac:dyDescent="0.25">
      <c r="A49" s="189" t="s">
        <v>964</v>
      </c>
      <c r="B49" s="190">
        <v>333</v>
      </c>
      <c r="C49" s="190" t="s">
        <v>2056</v>
      </c>
      <c r="D49" s="191" t="s">
        <v>2056</v>
      </c>
      <c r="E49" s="190" t="s">
        <v>56</v>
      </c>
      <c r="F49" s="190" t="s">
        <v>63</v>
      </c>
      <c r="G49" s="191" t="s">
        <v>443</v>
      </c>
      <c r="H49" s="192" t="s">
        <v>56</v>
      </c>
      <c r="I49" s="192" t="s">
        <v>57</v>
      </c>
      <c r="J49" s="192" t="s">
        <v>730</v>
      </c>
      <c r="K49" s="192" t="s">
        <v>443</v>
      </c>
      <c r="L49" s="192" t="s">
        <v>443</v>
      </c>
      <c r="M49" s="192" t="s">
        <v>443</v>
      </c>
    </row>
    <row r="50" spans="1:13" x14ac:dyDescent="0.25">
      <c r="A50" s="199" t="s">
        <v>966</v>
      </c>
      <c r="B50" s="190">
        <v>334</v>
      </c>
      <c r="C50" s="190" t="s">
        <v>2056</v>
      </c>
      <c r="D50" s="191" t="s">
        <v>2056</v>
      </c>
      <c r="E50" s="190" t="s">
        <v>56</v>
      </c>
      <c r="F50" s="191" t="s">
        <v>965</v>
      </c>
      <c r="G50" s="191" t="s">
        <v>443</v>
      </c>
      <c r="H50" s="198" t="s">
        <v>1024</v>
      </c>
      <c r="I50" s="198" t="s">
        <v>1025</v>
      </c>
      <c r="J50" s="198" t="s">
        <v>1026</v>
      </c>
      <c r="K50" s="198" t="s">
        <v>443</v>
      </c>
      <c r="L50" s="198" t="s">
        <v>443</v>
      </c>
      <c r="M50" s="198" t="s">
        <v>443</v>
      </c>
    </row>
    <row r="51" spans="1:13" x14ac:dyDescent="0.25">
      <c r="A51" s="193" t="s">
        <v>968</v>
      </c>
      <c r="B51" s="190">
        <v>335</v>
      </c>
      <c r="C51" s="190" t="s">
        <v>2056</v>
      </c>
      <c r="D51" s="191" t="s">
        <v>2056</v>
      </c>
      <c r="E51" s="190" t="s">
        <v>56</v>
      </c>
      <c r="F51" s="191" t="s">
        <v>980</v>
      </c>
      <c r="G51" s="191" t="s">
        <v>443</v>
      </c>
      <c r="H51" s="192" t="s">
        <v>1027</v>
      </c>
      <c r="I51" s="192" t="s">
        <v>1028</v>
      </c>
      <c r="J51" s="192" t="s">
        <v>2213</v>
      </c>
      <c r="K51" s="192" t="s">
        <v>443</v>
      </c>
      <c r="L51" s="192" t="s">
        <v>443</v>
      </c>
      <c r="M51" s="192" t="s">
        <v>443</v>
      </c>
    </row>
    <row r="52" spans="1:13" ht="21.75" x14ac:dyDescent="0.25">
      <c r="A52" s="193" t="s">
        <v>969</v>
      </c>
      <c r="B52" s="190">
        <v>336</v>
      </c>
      <c r="C52" s="190" t="s">
        <v>2056</v>
      </c>
      <c r="D52" s="191" t="s">
        <v>2056</v>
      </c>
      <c r="E52" s="190" t="s">
        <v>56</v>
      </c>
      <c r="F52" s="191" t="s">
        <v>980</v>
      </c>
      <c r="G52" s="191" t="s">
        <v>443</v>
      </c>
      <c r="H52" s="198" t="s">
        <v>75</v>
      </c>
      <c r="I52" s="198" t="s">
        <v>74</v>
      </c>
      <c r="J52" s="198" t="s">
        <v>73</v>
      </c>
      <c r="K52" s="198" t="s">
        <v>443</v>
      </c>
      <c r="L52" s="198" t="s">
        <v>443</v>
      </c>
      <c r="M52" s="198" t="s">
        <v>443</v>
      </c>
    </row>
    <row r="53" spans="1:13" x14ac:dyDescent="0.25">
      <c r="A53" s="193" t="s">
        <v>972</v>
      </c>
      <c r="B53" s="190">
        <v>337</v>
      </c>
      <c r="C53" s="190" t="s">
        <v>2056</v>
      </c>
      <c r="D53" s="191" t="s">
        <v>2056</v>
      </c>
      <c r="E53" s="190" t="s">
        <v>56</v>
      </c>
      <c r="F53" s="191" t="s">
        <v>980</v>
      </c>
      <c r="G53" s="191" t="s">
        <v>443</v>
      </c>
      <c r="H53" s="198" t="s">
        <v>47</v>
      </c>
      <c r="I53" s="198" t="s">
        <v>72</v>
      </c>
      <c r="J53" s="198" t="s">
        <v>71</v>
      </c>
      <c r="K53" s="198" t="s">
        <v>443</v>
      </c>
      <c r="L53" s="198" t="s">
        <v>443</v>
      </c>
      <c r="M53" s="198" t="s">
        <v>443</v>
      </c>
    </row>
    <row r="54" spans="1:13" x14ac:dyDescent="0.25">
      <c r="A54" s="193" t="s">
        <v>970</v>
      </c>
      <c r="B54" s="190">
        <v>338</v>
      </c>
      <c r="C54" s="190" t="s">
        <v>2056</v>
      </c>
      <c r="D54" s="191" t="s">
        <v>2056</v>
      </c>
      <c r="E54" s="190" t="s">
        <v>56</v>
      </c>
      <c r="F54" s="191" t="s">
        <v>980</v>
      </c>
      <c r="G54" s="191" t="s">
        <v>443</v>
      </c>
      <c r="H54" s="198" t="s">
        <v>48</v>
      </c>
      <c r="I54" s="198" t="s">
        <v>69</v>
      </c>
      <c r="J54" s="198" t="s">
        <v>68</v>
      </c>
      <c r="K54" s="198" t="s">
        <v>443</v>
      </c>
      <c r="L54" s="198" t="s">
        <v>443</v>
      </c>
      <c r="M54" s="198" t="s">
        <v>443</v>
      </c>
    </row>
    <row r="55" spans="1:13" x14ac:dyDescent="0.25">
      <c r="A55" s="199" t="s">
        <v>973</v>
      </c>
      <c r="B55" s="190">
        <v>339</v>
      </c>
      <c r="C55" s="190" t="s">
        <v>2056</v>
      </c>
      <c r="D55" s="191" t="s">
        <v>2056</v>
      </c>
      <c r="E55" s="190" t="s">
        <v>56</v>
      </c>
      <c r="F55" s="191" t="s">
        <v>980</v>
      </c>
      <c r="G55" s="191" t="s">
        <v>443</v>
      </c>
      <c r="H55" s="198" t="s">
        <v>46</v>
      </c>
      <c r="I55" s="198" t="s">
        <v>1106</v>
      </c>
      <c r="J55" s="198" t="s">
        <v>66</v>
      </c>
      <c r="K55" s="198" t="s">
        <v>443</v>
      </c>
      <c r="L55" s="198" t="s">
        <v>443</v>
      </c>
      <c r="M55" s="198" t="s">
        <v>443</v>
      </c>
    </row>
    <row r="56" spans="1:13" ht="21.75" x14ac:dyDescent="0.25">
      <c r="A56" s="199" t="s">
        <v>967</v>
      </c>
      <c r="B56" s="190">
        <v>340</v>
      </c>
      <c r="C56" s="190" t="s">
        <v>2056</v>
      </c>
      <c r="D56" s="191" t="s">
        <v>2056</v>
      </c>
      <c r="E56" s="190" t="s">
        <v>56</v>
      </c>
      <c r="F56" s="191" t="s">
        <v>965</v>
      </c>
      <c r="G56" s="191" t="s">
        <v>443</v>
      </c>
      <c r="H56" s="198" t="s">
        <v>64</v>
      </c>
      <c r="I56" s="198" t="s">
        <v>55</v>
      </c>
      <c r="J56" s="198" t="s">
        <v>54</v>
      </c>
      <c r="K56" s="198" t="s">
        <v>443</v>
      </c>
      <c r="L56" s="198" t="s">
        <v>443</v>
      </c>
      <c r="M56" s="198" t="s">
        <v>443</v>
      </c>
    </row>
    <row r="57" spans="1:13" x14ac:dyDescent="0.25">
      <c r="A57" s="199" t="s">
        <v>971</v>
      </c>
      <c r="B57" s="190">
        <v>341</v>
      </c>
      <c r="C57" s="190" t="s">
        <v>2056</v>
      </c>
      <c r="D57" s="191" t="s">
        <v>2056</v>
      </c>
      <c r="E57" s="190" t="s">
        <v>56</v>
      </c>
      <c r="F57" s="191" t="s">
        <v>980</v>
      </c>
      <c r="G57" s="191" t="s">
        <v>443</v>
      </c>
      <c r="H57" s="198" t="s">
        <v>913</v>
      </c>
      <c r="I57" s="198" t="s">
        <v>914</v>
      </c>
      <c r="J57" s="198" t="s">
        <v>915</v>
      </c>
      <c r="K57" s="198" t="s">
        <v>443</v>
      </c>
      <c r="L57" s="198" t="s">
        <v>443</v>
      </c>
      <c r="M57" s="198" t="s">
        <v>443</v>
      </c>
    </row>
    <row r="58" spans="1:13" ht="21.75" x14ac:dyDescent="0.25">
      <c r="A58" s="193" t="s">
        <v>1029</v>
      </c>
      <c r="B58" s="190">
        <v>342</v>
      </c>
      <c r="C58" s="190" t="s">
        <v>2056</v>
      </c>
      <c r="D58" s="191" t="s">
        <v>2056</v>
      </c>
      <c r="E58" s="190" t="s">
        <v>56</v>
      </c>
      <c r="F58" s="191" t="s">
        <v>740</v>
      </c>
      <c r="G58" s="190" t="s">
        <v>933</v>
      </c>
      <c r="H58" s="192" t="s">
        <v>1030</v>
      </c>
      <c r="I58" s="192" t="s">
        <v>1031</v>
      </c>
      <c r="J58" s="192" t="s">
        <v>1032</v>
      </c>
      <c r="K58" s="192" t="s">
        <v>2138</v>
      </c>
      <c r="L58" s="192" t="s">
        <v>2139</v>
      </c>
      <c r="M58" s="192" t="s">
        <v>2140</v>
      </c>
    </row>
    <row r="59" spans="1:13" ht="54.35" x14ac:dyDescent="0.25">
      <c r="A59" s="209" t="s">
        <v>2382</v>
      </c>
      <c r="B59" s="190">
        <v>343</v>
      </c>
      <c r="C59" s="190" t="s">
        <v>2056</v>
      </c>
      <c r="D59" s="191" t="s">
        <v>2056</v>
      </c>
      <c r="E59" s="190" t="s">
        <v>56</v>
      </c>
      <c r="F59" s="191" t="s">
        <v>740</v>
      </c>
      <c r="G59" s="190" t="s">
        <v>2014</v>
      </c>
      <c r="H59" s="210" t="s">
        <v>2383</v>
      </c>
      <c r="I59" s="204" t="s">
        <v>2384</v>
      </c>
      <c r="J59" s="204" t="s">
        <v>2385</v>
      </c>
      <c r="K59" s="205" t="s">
        <v>2386</v>
      </c>
      <c r="L59" s="204" t="s">
        <v>2387</v>
      </c>
      <c r="M59" s="206" t="s">
        <v>2388</v>
      </c>
    </row>
    <row r="60" spans="1:13" ht="21.75" x14ac:dyDescent="0.25">
      <c r="A60" s="199" t="s">
        <v>1975</v>
      </c>
      <c r="B60" s="190">
        <v>344</v>
      </c>
      <c r="C60" s="190" t="s">
        <v>2056</v>
      </c>
      <c r="D60" s="191" t="s">
        <v>2056</v>
      </c>
      <c r="E60" s="190" t="s">
        <v>56</v>
      </c>
      <c r="F60" s="191" t="s">
        <v>740</v>
      </c>
      <c r="G60" s="191" t="s">
        <v>998</v>
      </c>
      <c r="H60" s="192" t="s">
        <v>1977</v>
      </c>
      <c r="I60" s="192" t="s">
        <v>2141</v>
      </c>
      <c r="J60" s="192" t="s">
        <v>2214</v>
      </c>
      <c r="K60" s="192" t="s">
        <v>2142</v>
      </c>
      <c r="L60" s="192" t="s">
        <v>2143</v>
      </c>
      <c r="M60" s="192" t="s">
        <v>2144</v>
      </c>
    </row>
    <row r="61" spans="1:13" ht="21.75" x14ac:dyDescent="0.25">
      <c r="A61" s="199" t="s">
        <v>1974</v>
      </c>
      <c r="B61" s="190">
        <v>345</v>
      </c>
      <c r="C61" s="190" t="s">
        <v>2056</v>
      </c>
      <c r="D61" s="191" t="s">
        <v>2056</v>
      </c>
      <c r="E61" s="190" t="s">
        <v>56</v>
      </c>
      <c r="F61" s="191" t="s">
        <v>740</v>
      </c>
      <c r="G61" s="191" t="s">
        <v>998</v>
      </c>
      <c r="H61" s="198" t="s">
        <v>1974</v>
      </c>
      <c r="I61" s="198" t="s">
        <v>1976</v>
      </c>
      <c r="J61" s="198" t="s">
        <v>1987</v>
      </c>
      <c r="K61" s="198" t="s">
        <v>2145</v>
      </c>
      <c r="L61" s="198" t="s">
        <v>2146</v>
      </c>
      <c r="M61" s="198" t="s">
        <v>2147</v>
      </c>
    </row>
    <row r="62" spans="1:13" x14ac:dyDescent="0.25">
      <c r="A62" s="199" t="s">
        <v>1033</v>
      </c>
      <c r="B62" s="190">
        <v>346</v>
      </c>
      <c r="C62" s="190" t="s">
        <v>2056</v>
      </c>
      <c r="D62" s="191" t="s">
        <v>2056</v>
      </c>
      <c r="E62" s="190" t="s">
        <v>56</v>
      </c>
      <c r="F62" s="191" t="s">
        <v>740</v>
      </c>
      <c r="G62" s="190" t="s">
        <v>933</v>
      </c>
      <c r="H62" s="198" t="s">
        <v>1034</v>
      </c>
      <c r="I62" s="198" t="s">
        <v>1035</v>
      </c>
      <c r="J62" s="198" t="s">
        <v>1036</v>
      </c>
      <c r="K62" s="198" t="s">
        <v>2148</v>
      </c>
      <c r="L62" s="198" t="s">
        <v>2149</v>
      </c>
      <c r="M62" s="198" t="s">
        <v>1</v>
      </c>
    </row>
    <row r="63" spans="1:13" ht="32.6" x14ac:dyDescent="0.25">
      <c r="A63" s="199" t="s">
        <v>1037</v>
      </c>
      <c r="B63" s="190">
        <v>347</v>
      </c>
      <c r="C63" s="190" t="s">
        <v>2056</v>
      </c>
      <c r="D63" s="191" t="s">
        <v>2056</v>
      </c>
      <c r="E63" s="190" t="s">
        <v>56</v>
      </c>
      <c r="F63" s="191" t="s">
        <v>740</v>
      </c>
      <c r="G63" s="191" t="s">
        <v>933</v>
      </c>
      <c r="H63" s="198" t="s">
        <v>1038</v>
      </c>
      <c r="I63" s="198" t="s">
        <v>2215</v>
      </c>
      <c r="J63" s="198" t="s">
        <v>2216</v>
      </c>
      <c r="K63" s="198" t="s">
        <v>2150</v>
      </c>
      <c r="L63" s="198" t="s">
        <v>2151</v>
      </c>
      <c r="M63" s="198" t="s">
        <v>1107</v>
      </c>
    </row>
    <row r="64" spans="1:13" ht="32.6" x14ac:dyDescent="0.25">
      <c r="A64" s="199" t="s">
        <v>1039</v>
      </c>
      <c r="B64" s="190">
        <v>348</v>
      </c>
      <c r="C64" s="190" t="s">
        <v>2056</v>
      </c>
      <c r="D64" s="191" t="s">
        <v>2056</v>
      </c>
      <c r="E64" s="190" t="s">
        <v>56</v>
      </c>
      <c r="F64" s="191" t="s">
        <v>740</v>
      </c>
      <c r="G64" s="190" t="s">
        <v>933</v>
      </c>
      <c r="H64" s="198" t="s">
        <v>1040</v>
      </c>
      <c r="I64" s="198" t="s">
        <v>1041</v>
      </c>
      <c r="J64" s="198" t="s">
        <v>1042</v>
      </c>
      <c r="K64" s="198" t="s">
        <v>2152</v>
      </c>
      <c r="L64" s="198" t="s">
        <v>2153</v>
      </c>
      <c r="M64" s="198" t="s">
        <v>2154</v>
      </c>
    </row>
    <row r="65" spans="1:13" ht="21.75" x14ac:dyDescent="0.25">
      <c r="A65" s="189" t="s">
        <v>1043</v>
      </c>
      <c r="B65" s="190">
        <v>349</v>
      </c>
      <c r="C65" s="190" t="s">
        <v>2056</v>
      </c>
      <c r="D65" s="191" t="s">
        <v>2056</v>
      </c>
      <c r="E65" s="190" t="s">
        <v>56</v>
      </c>
      <c r="F65" s="191" t="s">
        <v>740</v>
      </c>
      <c r="G65" s="190" t="s">
        <v>933</v>
      </c>
      <c r="H65" s="192" t="s">
        <v>1044</v>
      </c>
      <c r="I65" s="192" t="s">
        <v>1045</v>
      </c>
      <c r="J65" s="192" t="s">
        <v>2217</v>
      </c>
      <c r="K65" s="192" t="s">
        <v>2155</v>
      </c>
      <c r="L65" s="192" t="s">
        <v>2156</v>
      </c>
      <c r="M65" s="192" t="s">
        <v>2157</v>
      </c>
    </row>
    <row r="66" spans="1:13" ht="32.6" x14ac:dyDescent="0.25">
      <c r="A66" s="199" t="s">
        <v>1046</v>
      </c>
      <c r="B66" s="190">
        <v>350</v>
      </c>
      <c r="C66" s="190" t="s">
        <v>2056</v>
      </c>
      <c r="D66" s="191" t="s">
        <v>2056</v>
      </c>
      <c r="E66" s="190" t="s">
        <v>56</v>
      </c>
      <c r="F66" s="191" t="s">
        <v>740</v>
      </c>
      <c r="G66" s="191" t="s">
        <v>933</v>
      </c>
      <c r="H66" s="198" t="s">
        <v>1047</v>
      </c>
      <c r="I66" s="198" t="s">
        <v>1048</v>
      </c>
      <c r="J66" s="198" t="s">
        <v>2218</v>
      </c>
      <c r="K66" s="198" t="s">
        <v>2158</v>
      </c>
      <c r="L66" s="198" t="s">
        <v>2159</v>
      </c>
      <c r="M66" s="198" t="s">
        <v>2160</v>
      </c>
    </row>
    <row r="67" spans="1:13" x14ac:dyDescent="0.25">
      <c r="A67" s="193" t="s">
        <v>1049</v>
      </c>
      <c r="B67" s="190">
        <v>351</v>
      </c>
      <c r="C67" s="190" t="s">
        <v>2056</v>
      </c>
      <c r="D67" s="191" t="s">
        <v>2056</v>
      </c>
      <c r="E67" s="190" t="s">
        <v>56</v>
      </c>
      <c r="F67" s="191" t="s">
        <v>740</v>
      </c>
      <c r="G67" s="191" t="s">
        <v>933</v>
      </c>
      <c r="H67" s="192" t="s">
        <v>1050</v>
      </c>
      <c r="I67" s="192" t="s">
        <v>1051</v>
      </c>
      <c r="J67" s="192" t="s">
        <v>1052</v>
      </c>
      <c r="K67" s="192" t="s">
        <v>2161</v>
      </c>
      <c r="L67" s="192" t="s">
        <v>2162</v>
      </c>
      <c r="M67" s="192" t="s">
        <v>2163</v>
      </c>
    </row>
    <row r="68" spans="1:13" ht="21.75" x14ac:dyDescent="0.25">
      <c r="A68" s="199" t="s">
        <v>10</v>
      </c>
      <c r="B68" s="190">
        <v>352</v>
      </c>
      <c r="C68" s="190" t="s">
        <v>2056</v>
      </c>
      <c r="D68" s="191" t="s">
        <v>2056</v>
      </c>
      <c r="E68" s="190" t="s">
        <v>56</v>
      </c>
      <c r="F68" s="191" t="s">
        <v>740</v>
      </c>
      <c r="G68" s="191" t="s">
        <v>998</v>
      </c>
      <c r="H68" s="198" t="s">
        <v>10</v>
      </c>
      <c r="I68" s="198" t="s">
        <v>10</v>
      </c>
      <c r="J68" s="198" t="s">
        <v>10</v>
      </c>
      <c r="K68" s="198" t="s">
        <v>2164</v>
      </c>
      <c r="L68" s="198" t="s">
        <v>2165</v>
      </c>
      <c r="M68" s="198" t="s">
        <v>2166</v>
      </c>
    </row>
    <row r="69" spans="1:13" ht="21.75" x14ac:dyDescent="0.25">
      <c r="A69" s="199" t="s">
        <v>9</v>
      </c>
      <c r="B69" s="190">
        <v>353</v>
      </c>
      <c r="C69" s="190" t="s">
        <v>2056</v>
      </c>
      <c r="D69" s="191" t="s">
        <v>2056</v>
      </c>
      <c r="E69" s="190" t="s">
        <v>56</v>
      </c>
      <c r="F69" s="191" t="s">
        <v>740</v>
      </c>
      <c r="G69" s="191" t="s">
        <v>998</v>
      </c>
      <c r="H69" s="198" t="s">
        <v>9</v>
      </c>
      <c r="I69" s="198" t="s">
        <v>9</v>
      </c>
      <c r="J69" s="198" t="s">
        <v>9</v>
      </c>
      <c r="K69" s="198" t="s">
        <v>2167</v>
      </c>
      <c r="L69" s="198" t="s">
        <v>2168</v>
      </c>
      <c r="M69" s="198" t="s">
        <v>2169</v>
      </c>
    </row>
    <row r="70" spans="1:13" ht="21.75" x14ac:dyDescent="0.25">
      <c r="A70" s="199" t="s">
        <v>1053</v>
      </c>
      <c r="B70" s="190">
        <v>354</v>
      </c>
      <c r="C70" s="190" t="s">
        <v>2056</v>
      </c>
      <c r="D70" s="191" t="s">
        <v>2056</v>
      </c>
      <c r="E70" s="190" t="s">
        <v>56</v>
      </c>
      <c r="F70" s="191" t="s">
        <v>740</v>
      </c>
      <c r="G70" s="190" t="s">
        <v>933</v>
      </c>
      <c r="H70" s="192" t="s">
        <v>1054</v>
      </c>
      <c r="I70" s="192" t="s">
        <v>1055</v>
      </c>
      <c r="J70" s="192" t="s">
        <v>1056</v>
      </c>
      <c r="K70" s="192" t="s">
        <v>2170</v>
      </c>
      <c r="L70" s="192" t="s">
        <v>2171</v>
      </c>
      <c r="M70" s="192" t="s">
        <v>0</v>
      </c>
    </row>
    <row r="71" spans="1:13" ht="21.75" x14ac:dyDescent="0.25">
      <c r="A71" s="199" t="s">
        <v>2011</v>
      </c>
      <c r="B71" s="190">
        <v>355</v>
      </c>
      <c r="C71" s="190" t="s">
        <v>2056</v>
      </c>
      <c r="D71" s="191" t="s">
        <v>2056</v>
      </c>
      <c r="E71" s="190" t="s">
        <v>56</v>
      </c>
      <c r="F71" s="191" t="s">
        <v>740</v>
      </c>
      <c r="G71" s="191" t="s">
        <v>1057</v>
      </c>
      <c r="H71" s="198" t="s">
        <v>750</v>
      </c>
      <c r="I71" s="198" t="s">
        <v>8</v>
      </c>
      <c r="J71" s="198" t="s">
        <v>751</v>
      </c>
      <c r="K71" s="198" t="s">
        <v>2172</v>
      </c>
      <c r="L71" s="198" t="s">
        <v>2173</v>
      </c>
      <c r="M71" s="198" t="s">
        <v>2174</v>
      </c>
    </row>
    <row r="72" spans="1:13" ht="43.5" x14ac:dyDescent="0.25">
      <c r="A72" s="199" t="s">
        <v>67</v>
      </c>
      <c r="B72" s="190">
        <v>356</v>
      </c>
      <c r="C72" s="190" t="s">
        <v>2056</v>
      </c>
      <c r="D72" s="191" t="s">
        <v>2056</v>
      </c>
      <c r="E72" s="190" t="s">
        <v>56</v>
      </c>
      <c r="F72" s="191" t="s">
        <v>740</v>
      </c>
      <c r="G72" s="191" t="s">
        <v>998</v>
      </c>
      <c r="H72" s="198" t="s">
        <v>1058</v>
      </c>
      <c r="I72" s="198" t="s">
        <v>1059</v>
      </c>
      <c r="J72" s="198" t="s">
        <v>2219</v>
      </c>
      <c r="K72" s="198" t="s">
        <v>2175</v>
      </c>
      <c r="L72" s="198" t="s">
        <v>2176</v>
      </c>
      <c r="M72" s="198" t="s">
        <v>2177</v>
      </c>
    </row>
    <row r="73" spans="1:13" x14ac:dyDescent="0.25">
      <c r="A73" s="199" t="s">
        <v>1982</v>
      </c>
      <c r="B73" s="190">
        <v>357</v>
      </c>
      <c r="C73" s="190" t="s">
        <v>2056</v>
      </c>
      <c r="D73" s="191" t="s">
        <v>2056</v>
      </c>
      <c r="E73" s="190" t="s">
        <v>56</v>
      </c>
      <c r="F73" s="191" t="s">
        <v>740</v>
      </c>
      <c r="G73" s="191" t="s">
        <v>933</v>
      </c>
      <c r="H73" s="198" t="s">
        <v>1983</v>
      </c>
      <c r="I73" s="198" t="s">
        <v>1984</v>
      </c>
      <c r="J73" s="198" t="s">
        <v>1986</v>
      </c>
      <c r="K73" s="198" t="s">
        <v>1985</v>
      </c>
      <c r="L73" s="198" t="s">
        <v>2178</v>
      </c>
      <c r="M73" s="198" t="s">
        <v>1988</v>
      </c>
    </row>
    <row r="74" spans="1:13" ht="21.75" x14ac:dyDescent="0.25">
      <c r="A74" s="199" t="s">
        <v>1113</v>
      </c>
      <c r="B74" s="190">
        <v>358</v>
      </c>
      <c r="C74" s="190" t="s">
        <v>2056</v>
      </c>
      <c r="D74" s="191" t="s">
        <v>2056</v>
      </c>
      <c r="E74" s="190" t="s">
        <v>56</v>
      </c>
      <c r="F74" s="191" t="s">
        <v>740</v>
      </c>
      <c r="G74" s="191" t="s">
        <v>998</v>
      </c>
      <c r="H74" s="198" t="s">
        <v>7</v>
      </c>
      <c r="I74" s="198" t="s">
        <v>1108</v>
      </c>
      <c r="J74" s="198" t="s">
        <v>65</v>
      </c>
      <c r="K74" s="198" t="s">
        <v>2179</v>
      </c>
      <c r="L74" s="198" t="s">
        <v>2180</v>
      </c>
      <c r="M74" s="198" t="s">
        <v>2181</v>
      </c>
    </row>
    <row r="75" spans="1:13" ht="21.75" x14ac:dyDescent="0.25">
      <c r="A75" s="199" t="s">
        <v>1114</v>
      </c>
      <c r="B75" s="190">
        <v>359</v>
      </c>
      <c r="C75" s="190" t="s">
        <v>2056</v>
      </c>
      <c r="D75" s="191" t="s">
        <v>2056</v>
      </c>
      <c r="E75" s="190" t="s">
        <v>56</v>
      </c>
      <c r="F75" s="191" t="s">
        <v>740</v>
      </c>
      <c r="G75" s="191" t="s">
        <v>1057</v>
      </c>
      <c r="H75" s="198" t="s">
        <v>6</v>
      </c>
      <c r="I75" s="198" t="s">
        <v>5</v>
      </c>
      <c r="J75" s="198" t="s">
        <v>4</v>
      </c>
      <c r="K75" s="198" t="s">
        <v>2182</v>
      </c>
      <c r="L75" s="198" t="s">
        <v>2183</v>
      </c>
      <c r="M75" s="198" t="s">
        <v>2184</v>
      </c>
    </row>
    <row r="76" spans="1:13" ht="54.35" x14ac:dyDescent="0.25">
      <c r="A76" s="199" t="s">
        <v>912</v>
      </c>
      <c r="B76" s="190">
        <v>360</v>
      </c>
      <c r="C76" s="190" t="s">
        <v>2056</v>
      </c>
      <c r="D76" s="191" t="s">
        <v>2056</v>
      </c>
      <c r="E76" s="190" t="s">
        <v>56</v>
      </c>
      <c r="F76" s="191" t="s">
        <v>740</v>
      </c>
      <c r="G76" s="191" t="s">
        <v>998</v>
      </c>
      <c r="H76" s="198" t="s">
        <v>3</v>
      </c>
      <c r="I76" s="198" t="s">
        <v>911</v>
      </c>
      <c r="J76" s="198" t="s">
        <v>2</v>
      </c>
      <c r="K76" s="198" t="s">
        <v>2185</v>
      </c>
      <c r="L76" s="198" t="s">
        <v>2186</v>
      </c>
      <c r="M76" s="198" t="s">
        <v>2187</v>
      </c>
    </row>
    <row r="77" spans="1:13" ht="21.75" x14ac:dyDescent="0.25">
      <c r="A77" s="199" t="s">
        <v>1060</v>
      </c>
      <c r="B77" s="190">
        <v>361</v>
      </c>
      <c r="C77" s="190" t="s">
        <v>2056</v>
      </c>
      <c r="D77" s="191" t="s">
        <v>2056</v>
      </c>
      <c r="E77" s="190" t="s">
        <v>56</v>
      </c>
      <c r="F77" s="191" t="s">
        <v>740</v>
      </c>
      <c r="G77" s="191" t="s">
        <v>998</v>
      </c>
      <c r="H77" s="198" t="s">
        <v>1061</v>
      </c>
      <c r="I77" s="198" t="s">
        <v>754</v>
      </c>
      <c r="J77" s="198" t="s">
        <v>754</v>
      </c>
      <c r="K77" s="198" t="s">
        <v>1062</v>
      </c>
      <c r="L77" s="198" t="s">
        <v>1109</v>
      </c>
      <c r="M77" s="198" t="s">
        <v>2188</v>
      </c>
    </row>
    <row r="78" spans="1:13" ht="21.75" x14ac:dyDescent="0.25">
      <c r="A78" s="199" t="s">
        <v>1063</v>
      </c>
      <c r="B78" s="190">
        <v>362</v>
      </c>
      <c r="C78" s="190" t="s">
        <v>2056</v>
      </c>
      <c r="D78" s="191" t="s">
        <v>2056</v>
      </c>
      <c r="E78" s="190" t="s">
        <v>56</v>
      </c>
      <c r="F78" s="191" t="s">
        <v>740</v>
      </c>
      <c r="G78" s="191" t="s">
        <v>998</v>
      </c>
      <c r="H78" s="198" t="s">
        <v>755</v>
      </c>
      <c r="I78" s="198" t="s">
        <v>755</v>
      </c>
      <c r="J78" s="198" t="s">
        <v>755</v>
      </c>
      <c r="K78" s="198" t="s">
        <v>1064</v>
      </c>
      <c r="L78" s="198" t="s">
        <v>1065</v>
      </c>
      <c r="M78" s="198" t="s">
        <v>1066</v>
      </c>
    </row>
    <row r="79" spans="1:13" ht="21.75" x14ac:dyDescent="0.25">
      <c r="A79" s="199" t="s">
        <v>1067</v>
      </c>
      <c r="B79" s="190">
        <v>363</v>
      </c>
      <c r="C79" s="190" t="s">
        <v>2056</v>
      </c>
      <c r="D79" s="191" t="s">
        <v>2056</v>
      </c>
      <c r="E79" s="190" t="s">
        <v>56</v>
      </c>
      <c r="F79" s="191" t="s">
        <v>740</v>
      </c>
      <c r="G79" s="191" t="s">
        <v>998</v>
      </c>
      <c r="H79" s="198" t="s">
        <v>756</v>
      </c>
      <c r="I79" s="198" t="s">
        <v>756</v>
      </c>
      <c r="J79" s="198" t="s">
        <v>756</v>
      </c>
      <c r="K79" s="198" t="s">
        <v>1068</v>
      </c>
      <c r="L79" s="198" t="s">
        <v>1069</v>
      </c>
      <c r="M79" s="198" t="s">
        <v>1070</v>
      </c>
    </row>
    <row r="80" spans="1:13" ht="21.75" x14ac:dyDescent="0.25">
      <c r="A80" s="199" t="s">
        <v>1071</v>
      </c>
      <c r="B80" s="190">
        <v>364</v>
      </c>
      <c r="C80" s="190" t="s">
        <v>2056</v>
      </c>
      <c r="D80" s="191" t="s">
        <v>2056</v>
      </c>
      <c r="E80" s="190" t="s">
        <v>56</v>
      </c>
      <c r="F80" s="191" t="s">
        <v>740</v>
      </c>
      <c r="G80" s="191" t="s">
        <v>998</v>
      </c>
      <c r="H80" s="198" t="s">
        <v>757</v>
      </c>
      <c r="I80" s="198" t="s">
        <v>757</v>
      </c>
      <c r="J80" s="198" t="s">
        <v>757</v>
      </c>
      <c r="K80" s="198" t="s">
        <v>1072</v>
      </c>
      <c r="L80" s="198" t="s">
        <v>1073</v>
      </c>
      <c r="M80" s="198" t="s">
        <v>1110</v>
      </c>
    </row>
    <row r="81" spans="1:13" x14ac:dyDescent="0.25">
      <c r="A81" s="189" t="s">
        <v>1074</v>
      </c>
      <c r="B81" s="190">
        <v>365</v>
      </c>
      <c r="C81" s="190" t="s">
        <v>2056</v>
      </c>
      <c r="D81" s="190" t="s">
        <v>1075</v>
      </c>
      <c r="E81" s="191" t="s">
        <v>62</v>
      </c>
      <c r="F81" s="191" t="s">
        <v>63</v>
      </c>
      <c r="G81" s="191" t="s">
        <v>443</v>
      </c>
      <c r="H81" s="192" t="s">
        <v>1075</v>
      </c>
      <c r="I81" s="192" t="s">
        <v>1075</v>
      </c>
      <c r="J81" s="192" t="s">
        <v>1076</v>
      </c>
      <c r="K81" s="192" t="s">
        <v>1077</v>
      </c>
      <c r="L81" s="192" t="s">
        <v>1078</v>
      </c>
      <c r="M81" s="192" t="s">
        <v>1111</v>
      </c>
    </row>
    <row r="82" spans="1:13" x14ac:dyDescent="0.25">
      <c r="A82" s="189" t="s">
        <v>1079</v>
      </c>
      <c r="B82" s="190">
        <v>366</v>
      </c>
      <c r="C82" s="190" t="s">
        <v>2056</v>
      </c>
      <c r="D82" s="190" t="s">
        <v>1075</v>
      </c>
      <c r="E82" s="191" t="s">
        <v>62</v>
      </c>
      <c r="F82" s="191" t="s">
        <v>715</v>
      </c>
      <c r="G82" s="191" t="s">
        <v>443</v>
      </c>
      <c r="H82" s="198" t="s">
        <v>62</v>
      </c>
      <c r="I82" s="198" t="s">
        <v>62</v>
      </c>
      <c r="J82" s="192" t="s">
        <v>62</v>
      </c>
      <c r="K82" s="192" t="s">
        <v>443</v>
      </c>
      <c r="L82" s="192" t="s">
        <v>443</v>
      </c>
      <c r="M82" s="192" t="s">
        <v>443</v>
      </c>
    </row>
    <row r="83" spans="1:13" ht="32.6" x14ac:dyDescent="0.25">
      <c r="A83" s="189" t="s">
        <v>1080</v>
      </c>
      <c r="B83" s="190">
        <v>367</v>
      </c>
      <c r="C83" s="190" t="s">
        <v>2056</v>
      </c>
      <c r="D83" s="190" t="s">
        <v>1075</v>
      </c>
      <c r="E83" s="191" t="s">
        <v>62</v>
      </c>
      <c r="F83" s="191" t="s">
        <v>716</v>
      </c>
      <c r="G83" s="190" t="s">
        <v>443</v>
      </c>
      <c r="H83" s="192" t="s">
        <v>974</v>
      </c>
      <c r="I83" s="192" t="s">
        <v>974</v>
      </c>
      <c r="J83" s="192" t="s">
        <v>974</v>
      </c>
      <c r="K83" s="192" t="s">
        <v>2189</v>
      </c>
      <c r="L83" s="192" t="s">
        <v>2190</v>
      </c>
      <c r="M83" s="192" t="s">
        <v>2191</v>
      </c>
    </row>
    <row r="84" spans="1:13" ht="32.6" x14ac:dyDescent="0.25">
      <c r="A84" s="189" t="s">
        <v>1081</v>
      </c>
      <c r="B84" s="190">
        <v>368</v>
      </c>
      <c r="C84" s="190" t="s">
        <v>2056</v>
      </c>
      <c r="D84" s="190" t="s">
        <v>1075</v>
      </c>
      <c r="E84" s="191" t="s">
        <v>62</v>
      </c>
      <c r="F84" s="191" t="s">
        <v>716</v>
      </c>
      <c r="G84" s="190" t="s">
        <v>443</v>
      </c>
      <c r="H84" s="192" t="s">
        <v>975</v>
      </c>
      <c r="I84" s="192" t="s">
        <v>975</v>
      </c>
      <c r="J84" s="192" t="s">
        <v>975</v>
      </c>
      <c r="K84" s="192" t="s">
        <v>2192</v>
      </c>
      <c r="L84" s="192" t="s">
        <v>2193</v>
      </c>
      <c r="M84" s="192" t="s">
        <v>2194</v>
      </c>
    </row>
    <row r="85" spans="1:13" ht="32.6" x14ac:dyDescent="0.25">
      <c r="A85" s="189" t="s">
        <v>1082</v>
      </c>
      <c r="B85" s="190">
        <v>369</v>
      </c>
      <c r="C85" s="190" t="s">
        <v>2056</v>
      </c>
      <c r="D85" s="190" t="s">
        <v>1075</v>
      </c>
      <c r="E85" s="191" t="s">
        <v>62</v>
      </c>
      <c r="F85" s="191" t="s">
        <v>716</v>
      </c>
      <c r="G85" s="190" t="s">
        <v>443</v>
      </c>
      <c r="H85" s="192" t="s">
        <v>976</v>
      </c>
      <c r="I85" s="192" t="s">
        <v>976</v>
      </c>
      <c r="J85" s="192" t="s">
        <v>976</v>
      </c>
      <c r="K85" s="192" t="s">
        <v>2195</v>
      </c>
      <c r="L85" s="192" t="s">
        <v>2196</v>
      </c>
      <c r="M85" s="192" t="s">
        <v>2197</v>
      </c>
    </row>
    <row r="86" spans="1:13" ht="43.5" x14ac:dyDescent="0.25">
      <c r="A86" s="189" t="s">
        <v>1083</v>
      </c>
      <c r="B86" s="190">
        <v>370</v>
      </c>
      <c r="C86" s="190" t="s">
        <v>2056</v>
      </c>
      <c r="D86" s="190" t="s">
        <v>1075</v>
      </c>
      <c r="E86" s="191" t="s">
        <v>62</v>
      </c>
      <c r="F86" s="191" t="s">
        <v>716</v>
      </c>
      <c r="G86" s="190" t="s">
        <v>443</v>
      </c>
      <c r="H86" s="192" t="s">
        <v>977</v>
      </c>
      <c r="I86" s="192" t="s">
        <v>977</v>
      </c>
      <c r="J86" s="192" t="s">
        <v>977</v>
      </c>
      <c r="K86" s="192" t="s">
        <v>2198</v>
      </c>
      <c r="L86" s="192" t="s">
        <v>2199</v>
      </c>
      <c r="M86" s="192" t="s">
        <v>1112</v>
      </c>
    </row>
    <row r="87" spans="1:13" ht="21.75" x14ac:dyDescent="0.25">
      <c r="A87" s="189" t="s">
        <v>1084</v>
      </c>
      <c r="B87" s="190">
        <v>371</v>
      </c>
      <c r="C87" s="190" t="s">
        <v>2056</v>
      </c>
      <c r="D87" s="190" t="s">
        <v>1075</v>
      </c>
      <c r="E87" s="191" t="s">
        <v>62</v>
      </c>
      <c r="F87" s="191" t="s">
        <v>716</v>
      </c>
      <c r="G87" s="190" t="s">
        <v>443</v>
      </c>
      <c r="H87" s="192" t="s">
        <v>978</v>
      </c>
      <c r="I87" s="192" t="s">
        <v>978</v>
      </c>
      <c r="J87" s="192" t="s">
        <v>978</v>
      </c>
      <c r="K87" s="192" t="s">
        <v>61</v>
      </c>
      <c r="L87" s="192" t="s">
        <v>2200</v>
      </c>
      <c r="M87" s="192" t="s">
        <v>2201</v>
      </c>
    </row>
    <row r="88" spans="1:13" x14ac:dyDescent="0.25">
      <c r="A88" s="189" t="s">
        <v>1085</v>
      </c>
      <c r="B88" s="190">
        <v>372</v>
      </c>
      <c r="C88" s="190" t="s">
        <v>2056</v>
      </c>
      <c r="D88" s="190" t="s">
        <v>1075</v>
      </c>
      <c r="E88" s="191" t="s">
        <v>2012</v>
      </c>
      <c r="F88" s="190" t="s">
        <v>715</v>
      </c>
      <c r="G88" s="191" t="s">
        <v>443</v>
      </c>
      <c r="H88" s="198" t="s">
        <v>717</v>
      </c>
      <c r="I88" s="198" t="s">
        <v>718</v>
      </c>
      <c r="J88" s="198" t="s">
        <v>719</v>
      </c>
      <c r="K88" s="198" t="s">
        <v>443</v>
      </c>
      <c r="L88" s="198" t="s">
        <v>443</v>
      </c>
      <c r="M88" s="198" t="s">
        <v>443</v>
      </c>
    </row>
    <row r="89" spans="1:13" x14ac:dyDescent="0.25">
      <c r="A89" s="199" t="s">
        <v>1086</v>
      </c>
      <c r="B89" s="190">
        <v>373</v>
      </c>
      <c r="C89" s="190" t="s">
        <v>2056</v>
      </c>
      <c r="D89" s="190" t="s">
        <v>1075</v>
      </c>
      <c r="E89" s="191" t="s">
        <v>2012</v>
      </c>
      <c r="F89" s="190" t="s">
        <v>716</v>
      </c>
      <c r="G89" s="190" t="s">
        <v>443</v>
      </c>
      <c r="H89" s="192" t="s">
        <v>1087</v>
      </c>
      <c r="I89" s="192" t="s">
        <v>1088</v>
      </c>
      <c r="J89" s="192" t="s">
        <v>1089</v>
      </c>
      <c r="K89" s="192" t="s">
        <v>443</v>
      </c>
      <c r="L89" s="192" t="s">
        <v>443</v>
      </c>
      <c r="M89" s="192" t="s">
        <v>443</v>
      </c>
    </row>
    <row r="90" spans="1:13" x14ac:dyDescent="0.25">
      <c r="A90" s="193" t="s">
        <v>1090</v>
      </c>
      <c r="B90" s="190">
        <v>374</v>
      </c>
      <c r="C90" s="190" t="s">
        <v>2056</v>
      </c>
      <c r="D90" s="190" t="s">
        <v>1075</v>
      </c>
      <c r="E90" s="190" t="s">
        <v>2012</v>
      </c>
      <c r="F90" s="190" t="s">
        <v>716</v>
      </c>
      <c r="G90" s="190" t="s">
        <v>443</v>
      </c>
      <c r="H90" s="192" t="s">
        <v>2202</v>
      </c>
      <c r="I90" s="192" t="s">
        <v>2203</v>
      </c>
      <c r="J90" s="192" t="s">
        <v>2204</v>
      </c>
      <c r="K90" s="192" t="s">
        <v>443</v>
      </c>
      <c r="L90" s="192" t="s">
        <v>443</v>
      </c>
      <c r="M90" s="192" t="s">
        <v>443</v>
      </c>
    </row>
    <row r="91" spans="1:13" x14ac:dyDescent="0.25">
      <c r="A91" s="189" t="s">
        <v>1091</v>
      </c>
      <c r="B91" s="190">
        <v>375</v>
      </c>
      <c r="C91" s="190" t="s">
        <v>2056</v>
      </c>
      <c r="D91" s="190" t="s">
        <v>1075</v>
      </c>
      <c r="E91" s="191" t="s">
        <v>2012</v>
      </c>
      <c r="F91" s="190" t="s">
        <v>716</v>
      </c>
      <c r="G91" s="190" t="s">
        <v>443</v>
      </c>
      <c r="H91" s="198" t="s">
        <v>720</v>
      </c>
      <c r="I91" s="198" t="s">
        <v>721</v>
      </c>
      <c r="J91" s="198" t="s">
        <v>722</v>
      </c>
      <c r="K91" s="198" t="s">
        <v>443</v>
      </c>
      <c r="L91" s="198" t="s">
        <v>443</v>
      </c>
      <c r="M91" s="198" t="s">
        <v>443</v>
      </c>
    </row>
    <row r="92" spans="1:13" x14ac:dyDescent="0.25">
      <c r="A92" s="189" t="s">
        <v>1092</v>
      </c>
      <c r="B92" s="190">
        <v>376</v>
      </c>
      <c r="C92" s="190" t="s">
        <v>2056</v>
      </c>
      <c r="D92" s="190" t="s">
        <v>1075</v>
      </c>
      <c r="E92" s="191" t="s">
        <v>2012</v>
      </c>
      <c r="F92" s="190" t="s">
        <v>716</v>
      </c>
      <c r="G92" s="190" t="s">
        <v>443</v>
      </c>
      <c r="H92" s="198" t="s">
        <v>89</v>
      </c>
      <c r="I92" s="198" t="s">
        <v>723</v>
      </c>
      <c r="J92" s="198" t="s">
        <v>724</v>
      </c>
      <c r="K92" s="198" t="s">
        <v>443</v>
      </c>
      <c r="L92" s="198" t="s">
        <v>443</v>
      </c>
      <c r="M92" s="198" t="s">
        <v>443</v>
      </c>
    </row>
    <row r="93" spans="1:13" x14ac:dyDescent="0.25">
      <c r="A93" s="189" t="s">
        <v>1093</v>
      </c>
      <c r="B93" s="190">
        <v>377</v>
      </c>
      <c r="C93" s="190" t="s">
        <v>2056</v>
      </c>
      <c r="D93" s="190" t="s">
        <v>1075</v>
      </c>
      <c r="E93" s="191" t="s">
        <v>2012</v>
      </c>
      <c r="F93" s="190" t="s">
        <v>716</v>
      </c>
      <c r="G93" s="190" t="s">
        <v>443</v>
      </c>
      <c r="H93" s="198" t="s">
        <v>725</v>
      </c>
      <c r="I93" s="198" t="s">
        <v>726</v>
      </c>
      <c r="J93" s="198" t="s">
        <v>727</v>
      </c>
      <c r="K93" s="198" t="s">
        <v>443</v>
      </c>
      <c r="L93" s="198" t="s">
        <v>443</v>
      </c>
      <c r="M93" s="198" t="s">
        <v>443</v>
      </c>
    </row>
    <row r="94" spans="1:13" x14ac:dyDescent="0.25">
      <c r="A94" s="189" t="s">
        <v>1095</v>
      </c>
      <c r="B94" s="190">
        <v>378</v>
      </c>
      <c r="C94" s="190" t="s">
        <v>2056</v>
      </c>
      <c r="D94" s="190" t="s">
        <v>1075</v>
      </c>
      <c r="E94" s="191" t="s">
        <v>2012</v>
      </c>
      <c r="F94" s="190" t="s">
        <v>716</v>
      </c>
      <c r="G94" s="190" t="s">
        <v>443</v>
      </c>
      <c r="H94" s="192" t="s">
        <v>2205</v>
      </c>
      <c r="I94" s="192" t="s">
        <v>2206</v>
      </c>
      <c r="J94" s="192" t="s">
        <v>2207</v>
      </c>
      <c r="K94" s="192" t="s">
        <v>443</v>
      </c>
      <c r="L94" s="192" t="s">
        <v>443</v>
      </c>
      <c r="M94" s="192" t="s">
        <v>443</v>
      </c>
    </row>
    <row r="95" spans="1:13" x14ac:dyDescent="0.25">
      <c r="A95" s="189" t="s">
        <v>1094</v>
      </c>
      <c r="B95" s="190">
        <v>379</v>
      </c>
      <c r="C95" s="190" t="s">
        <v>2056</v>
      </c>
      <c r="D95" s="190" t="s">
        <v>1075</v>
      </c>
      <c r="E95" s="191" t="s">
        <v>2012</v>
      </c>
      <c r="F95" s="190" t="s">
        <v>716</v>
      </c>
      <c r="G95" s="190" t="s">
        <v>443</v>
      </c>
      <c r="H95" s="192" t="s">
        <v>2208</v>
      </c>
      <c r="I95" s="192" t="s">
        <v>2209</v>
      </c>
      <c r="J95" s="192" t="s">
        <v>2210</v>
      </c>
      <c r="K95" s="192" t="s">
        <v>443</v>
      </c>
      <c r="L95" s="192" t="s">
        <v>443</v>
      </c>
      <c r="M95" s="192" t="s">
        <v>443</v>
      </c>
    </row>
    <row r="96" spans="1:13" x14ac:dyDescent="0.25">
      <c r="A96" s="189" t="s">
        <v>2211</v>
      </c>
      <c r="B96" s="190">
        <v>380</v>
      </c>
      <c r="C96" s="190" t="s">
        <v>2056</v>
      </c>
      <c r="D96" s="190" t="s">
        <v>1075</v>
      </c>
      <c r="E96" s="191" t="s">
        <v>2012</v>
      </c>
      <c r="F96" s="190" t="s">
        <v>716</v>
      </c>
      <c r="G96" s="190" t="s">
        <v>443</v>
      </c>
      <c r="H96" s="198" t="s">
        <v>60</v>
      </c>
      <c r="I96" s="198" t="s">
        <v>60</v>
      </c>
      <c r="J96" s="198" t="s">
        <v>59</v>
      </c>
      <c r="K96" s="198" t="s">
        <v>443</v>
      </c>
      <c r="L96" s="198" t="s">
        <v>443</v>
      </c>
      <c r="M96" s="198" t="s">
        <v>443</v>
      </c>
    </row>
    <row r="97" spans="1:5" x14ac:dyDescent="0.25">
      <c r="A97" s="55"/>
    </row>
    <row r="98" spans="1:5" x14ac:dyDescent="0.25">
      <c r="B98" s="54"/>
      <c r="C98" s="54"/>
      <c r="D98" s="54"/>
      <c r="E98" s="54"/>
    </row>
  </sheetData>
  <sheetProtection algorithmName="SHA-512" hashValue="ZYSeYvvivXUwTRUD/iDcQksPw7LA69XbWxFRRxIjeiWuLnkdvjS+M6RZDyn+aMZBz8CXWGfBwn1wk9DHkWBmZw==" saltValue="l80zZa7Fpg0mugPBbQmDaA==" spinCount="100000" sheet="1" objects="1" scenarios="1" formatCells="0" autoFilter="0"/>
  <mergeCells count="1">
    <mergeCell ref="A1:F1"/>
  </mergeCells>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25</vt:i4>
      </vt:variant>
    </vt:vector>
  </HeadingPairs>
  <TitlesOfParts>
    <vt:vector size="29" baseType="lpstr">
      <vt:lpstr>ST04-T2SZ</vt:lpstr>
      <vt:lpstr>Codes</vt:lpstr>
      <vt:lpstr>Instructions</vt:lpstr>
      <vt:lpstr>Filters</vt:lpstr>
      <vt:lpstr>CatchTypeCode</vt:lpstr>
      <vt:lpstr>ClassLimitCode</vt:lpstr>
      <vt:lpstr>Content</vt:lpstr>
      <vt:lpstr>DataSourceCode</vt:lpstr>
      <vt:lpstr>FlagA2ISO</vt:lpstr>
      <vt:lpstr>FlagA3ISO</vt:lpstr>
      <vt:lpstr>FlagCode</vt:lpstr>
      <vt:lpstr>FlagName</vt:lpstr>
      <vt:lpstr>FleetSuffix</vt:lpstr>
      <vt:lpstr>FleetSuffixes</vt:lpstr>
      <vt:lpstr>FreqTypeCode</vt:lpstr>
      <vt:lpstr>GearCode</vt:lpstr>
      <vt:lpstr>idiom</vt:lpstr>
      <vt:lpstr>LangFieldID</vt:lpstr>
      <vt:lpstr>LangNameID</vt:lpstr>
      <vt:lpstr>ProdTypeCode</vt:lpstr>
      <vt:lpstr>QuadCode</vt:lpstr>
      <vt:lpstr>SampAreaCode</vt:lpstr>
      <vt:lpstr>SampleUnitCode</vt:lpstr>
      <vt:lpstr>SampLocatCode</vt:lpstr>
      <vt:lpstr>SchoolTypeCode</vt:lpstr>
      <vt:lpstr>SpeciesCode</vt:lpstr>
      <vt:lpstr>SquareTypeCode</vt:lpstr>
      <vt:lpstr>StatusCPC</vt:lpstr>
      <vt:lpstr>Version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Carlos Palma</dc:creator>
  <cp:lastModifiedBy>Juan Luis Gallego</cp:lastModifiedBy>
  <cp:lastPrinted>2014-02-24T12:45:50Z</cp:lastPrinted>
  <dcterms:created xsi:type="dcterms:W3CDTF">2014-02-24T11:02:02Z</dcterms:created>
  <dcterms:modified xsi:type="dcterms:W3CDTF">2026-06-02T13:02:24Z</dcterms:modified>
</cp:coreProperties>
</file>